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SFinV_K_2_3\"/>
    </mc:Choice>
  </mc:AlternateContent>
  <xr:revisionPtr revIDLastSave="0" documentId="13_ncr:1_{2F579AD4-A9EA-4368-9C36-D749FE93E1D5}" xr6:coauthVersionLast="36" xr6:coauthVersionMax="36" xr10:uidLastSave="{00000000-0000-0000-0000-000000000000}"/>
  <bookViews>
    <workbookView xWindow="0" yWindow="180" windowWidth="16380" windowHeight="8010" tabRatio="566" xr2:uid="{00000000-000D-0000-FFFF-FFFF00000000}"/>
  </bookViews>
  <sheets>
    <sheet name="Uebersicht" sheetId="1" r:id="rId1"/>
    <sheet name="Tabelle" sheetId="20" state="hidden" r:id="rId2"/>
  </sheets>
  <definedNames>
    <definedName name="_xlnm._FilterDatabase" localSheetId="0" hidden="1">Uebersicht!$J$3:$AC$229</definedName>
    <definedName name="_xlnm.Print_Area" localSheetId="0">Uebersicht!$A$1:$AH$228</definedName>
    <definedName name="_xlnm.Print_Titles" localSheetId="0">Uebersicht!$1:$3</definedName>
    <definedName name="Print_Area_0" localSheetId="0">Uebersicht!$A$1:$AH$228</definedName>
    <definedName name="Print_Area_0_0" localSheetId="0">Uebersicht!$A$1:$AH$228</definedName>
    <definedName name="Print_Titles_0" localSheetId="0">Uebersicht!$1:$3</definedName>
    <definedName name="Print_Titles_0_0" localSheetId="0">Uebersicht!$1:$3</definedName>
  </definedNames>
  <calcPr calcId="191029"/>
</workbook>
</file>

<file path=xl/calcChain.xml><?xml version="1.0" encoding="utf-8"?>
<calcChain xmlns="http://schemas.openxmlformats.org/spreadsheetml/2006/main">
  <c r="AJ124" i="1" l="1"/>
  <c r="AL202" i="1" l="1"/>
  <c r="AL203" i="1"/>
  <c r="AL204" i="1"/>
  <c r="AL205" i="1"/>
  <c r="AL206" i="1"/>
  <c r="AL207" i="1"/>
  <c r="AL208" i="1"/>
  <c r="AL201" i="1"/>
  <c r="AH132" i="1" l="1"/>
  <c r="AH9" i="1" l="1"/>
  <c r="AH127" i="1"/>
  <c r="AH131" i="1"/>
  <c r="AH126" i="1"/>
  <c r="AH67" i="1"/>
  <c r="AH68" i="1"/>
  <c r="AH65" i="1"/>
  <c r="AH170" i="1"/>
  <c r="AH158" i="1" l="1"/>
  <c r="AH157" i="1"/>
  <c r="AH118" i="1"/>
  <c r="AJ118" i="1" s="1"/>
  <c r="AH74" i="1"/>
  <c r="AJ178" i="1" l="1"/>
  <c r="AH123" i="1" l="1"/>
  <c r="AJ123" i="1" s="1"/>
  <c r="AJ135" i="1" l="1"/>
  <c r="AJ41" i="1" l="1"/>
  <c r="AJ6" i="1"/>
  <c r="AJ7" i="1"/>
  <c r="AJ12" i="1"/>
  <c r="AJ14" i="1"/>
  <c r="AJ21" i="1"/>
  <c r="AJ23" i="1"/>
  <c r="AJ28" i="1"/>
  <c r="AJ30" i="1"/>
  <c r="AJ31" i="1"/>
  <c r="AJ32" i="1"/>
  <c r="AJ33" i="1"/>
  <c r="AJ36" i="1"/>
  <c r="AJ37" i="1"/>
  <c r="AJ38" i="1"/>
  <c r="AJ39" i="1"/>
  <c r="AJ40" i="1"/>
  <c r="AJ42" i="1"/>
  <c r="AJ43" i="1"/>
  <c r="AJ45" i="1"/>
  <c r="AJ46" i="1"/>
  <c r="AJ47" i="1"/>
  <c r="AJ48" i="1"/>
  <c r="AJ51" i="1"/>
  <c r="AJ59" i="1"/>
  <c r="AJ73" i="1"/>
  <c r="AJ74" i="1"/>
  <c r="AJ77" i="1"/>
  <c r="AJ82" i="1"/>
  <c r="AJ85" i="1"/>
  <c r="AJ88" i="1"/>
  <c r="AJ92" i="1"/>
  <c r="AJ93" i="1"/>
  <c r="AJ97" i="1"/>
  <c r="AJ98" i="1"/>
  <c r="AJ99" i="1"/>
  <c r="AJ100" i="1"/>
  <c r="AJ104" i="1"/>
  <c r="AJ105" i="1"/>
  <c r="AJ106" i="1"/>
  <c r="AJ107" i="1"/>
  <c r="AJ108" i="1"/>
  <c r="AJ109" i="1"/>
  <c r="AJ110" i="1"/>
  <c r="AJ111" i="1"/>
  <c r="AJ117" i="1"/>
  <c r="AJ137" i="1"/>
  <c r="AJ143" i="1"/>
  <c r="AJ144" i="1"/>
  <c r="AJ149" i="1"/>
  <c r="AJ150" i="1"/>
  <c r="AJ151" i="1"/>
  <c r="AJ153" i="1"/>
  <c r="AJ154" i="1"/>
  <c r="AJ155" i="1"/>
  <c r="AJ156" i="1"/>
  <c r="AJ160" i="1"/>
  <c r="AJ165" i="1"/>
  <c r="AJ166" i="1"/>
  <c r="AJ167" i="1"/>
  <c r="AJ168" i="1"/>
  <c r="AJ169" i="1"/>
  <c r="AJ171" i="1"/>
  <c r="AJ174" i="1"/>
  <c r="AJ176" i="1"/>
  <c r="AJ183" i="1"/>
  <c r="AJ184" i="1"/>
  <c r="AJ185" i="1"/>
  <c r="AJ190" i="1"/>
  <c r="AJ195" i="1"/>
  <c r="AJ201" i="1"/>
  <c r="AJ202" i="1"/>
  <c r="AJ203" i="1"/>
  <c r="AJ206" i="1"/>
  <c r="AJ208" i="1"/>
  <c r="AJ209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H182" i="1"/>
  <c r="AJ182" i="1" s="1"/>
  <c r="AH181" i="1"/>
  <c r="AJ181" i="1" s="1"/>
  <c r="AH180" i="1"/>
  <c r="AJ180" i="1" s="1"/>
  <c r="AH179" i="1"/>
  <c r="AJ179" i="1" s="1"/>
  <c r="AH177" i="1"/>
  <c r="AJ177" i="1" s="1"/>
  <c r="AH152" i="1"/>
  <c r="AJ152" i="1" s="1"/>
  <c r="AH94" i="1"/>
  <c r="AJ94" i="1" s="1"/>
  <c r="AH121" i="1"/>
  <c r="AJ121" i="1" s="1"/>
  <c r="AH20" i="1"/>
  <c r="AJ20" i="1" s="1"/>
  <c r="AH95" i="1" l="1"/>
  <c r="AJ95" i="1" s="1"/>
  <c r="AH122" i="1"/>
  <c r="AJ122" i="1" s="1"/>
  <c r="AJ120" i="1"/>
  <c r="AH119" i="1"/>
  <c r="AJ119" i="1" s="1"/>
  <c r="AH89" i="1" l="1"/>
  <c r="AJ89" i="1" s="1"/>
  <c r="AH90" i="1"/>
  <c r="AJ90" i="1" s="1"/>
  <c r="AH159" i="1" l="1"/>
  <c r="AJ159" i="1" s="1"/>
  <c r="AJ158" i="1"/>
  <c r="AH75" i="1"/>
  <c r="AJ75" i="1" s="1"/>
  <c r="P150" i="20"/>
  <c r="P149" i="20"/>
  <c r="P148" i="20"/>
  <c r="P147" i="20"/>
  <c r="P146" i="20"/>
  <c r="P145" i="20"/>
  <c r="P144" i="20"/>
  <c r="P143" i="20"/>
  <c r="P142" i="20"/>
  <c r="P141" i="20"/>
  <c r="P140" i="20"/>
  <c r="P139" i="20"/>
  <c r="P138" i="20"/>
  <c r="P137" i="20"/>
  <c r="P136" i="20"/>
  <c r="P135" i="20"/>
  <c r="P134" i="20"/>
  <c r="P133" i="20"/>
  <c r="P132" i="20"/>
  <c r="P131" i="20"/>
  <c r="P130" i="20"/>
  <c r="P129" i="20"/>
  <c r="P128" i="20"/>
  <c r="P127" i="20"/>
  <c r="P126" i="20"/>
  <c r="P125" i="20"/>
  <c r="P124" i="20"/>
  <c r="P123" i="20"/>
  <c r="P122" i="20"/>
  <c r="P121" i="20"/>
  <c r="P120" i="20"/>
  <c r="P119" i="20"/>
  <c r="P118" i="20"/>
  <c r="P117" i="20"/>
  <c r="P116" i="20"/>
  <c r="P115" i="20"/>
  <c r="P114" i="20"/>
  <c r="P113" i="20"/>
  <c r="P112" i="20"/>
  <c r="P111" i="20"/>
  <c r="P110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97" i="20"/>
  <c r="P96" i="20"/>
  <c r="P95" i="20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70" i="20"/>
  <c r="P69" i="20"/>
  <c r="P68" i="20"/>
  <c r="P67" i="20"/>
  <c r="P66" i="20"/>
  <c r="P65" i="20"/>
  <c r="P64" i="20"/>
  <c r="P63" i="20"/>
  <c r="P62" i="20"/>
  <c r="P61" i="20"/>
  <c r="P60" i="20"/>
  <c r="P59" i="20"/>
  <c r="P58" i="20"/>
  <c r="P57" i="20"/>
  <c r="P56" i="20"/>
  <c r="P55" i="20"/>
  <c r="P54" i="20"/>
  <c r="P53" i="20"/>
  <c r="P52" i="20"/>
  <c r="P51" i="20"/>
  <c r="P50" i="20"/>
  <c r="P49" i="20"/>
  <c r="P48" i="20"/>
  <c r="P47" i="20"/>
  <c r="P46" i="20"/>
  <c r="P45" i="20"/>
  <c r="P44" i="20"/>
  <c r="P43" i="20"/>
  <c r="P42" i="20"/>
  <c r="P41" i="20"/>
  <c r="P40" i="20"/>
  <c r="P39" i="20"/>
  <c r="P38" i="20"/>
  <c r="P37" i="20"/>
  <c r="P36" i="20"/>
  <c r="P35" i="20"/>
  <c r="P34" i="20"/>
  <c r="P33" i="20"/>
  <c r="P32" i="20"/>
  <c r="P31" i="20"/>
  <c r="P30" i="20"/>
  <c r="P29" i="20"/>
  <c r="P28" i="20"/>
  <c r="P27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AH213" i="1"/>
  <c r="AJ213" i="1" s="1"/>
  <c r="AH212" i="1"/>
  <c r="AJ212" i="1" s="1"/>
  <c r="AH211" i="1"/>
  <c r="AJ211" i="1" s="1"/>
  <c r="AH210" i="1"/>
  <c r="AJ210" i="1" s="1"/>
  <c r="AH207" i="1"/>
  <c r="AJ207" i="1" s="1"/>
  <c r="AH205" i="1"/>
  <c r="AJ205" i="1" s="1"/>
  <c r="AH204" i="1"/>
  <c r="AJ204" i="1" s="1"/>
  <c r="AH200" i="1"/>
  <c r="AJ200" i="1" s="1"/>
  <c r="AH199" i="1"/>
  <c r="AJ199" i="1" s="1"/>
  <c r="AH198" i="1"/>
  <c r="AJ198" i="1" s="1"/>
  <c r="AH197" i="1"/>
  <c r="AJ197" i="1" s="1"/>
  <c r="AH196" i="1"/>
  <c r="AJ196" i="1" s="1"/>
  <c r="AH194" i="1"/>
  <c r="AJ194" i="1" s="1"/>
  <c r="AH193" i="1"/>
  <c r="AJ193" i="1" s="1"/>
  <c r="AH192" i="1"/>
  <c r="AJ192" i="1" s="1"/>
  <c r="AH191" i="1"/>
  <c r="AJ191" i="1" s="1"/>
  <c r="AH189" i="1"/>
  <c r="AJ189" i="1" s="1"/>
  <c r="AH188" i="1"/>
  <c r="AJ188" i="1" s="1"/>
  <c r="AH187" i="1"/>
  <c r="AJ187" i="1" s="1"/>
  <c r="AH186" i="1"/>
  <c r="AJ186" i="1" s="1"/>
  <c r="A184" i="1"/>
  <c r="AJ175" i="1"/>
  <c r="AJ170" i="1"/>
  <c r="AH173" i="1"/>
  <c r="AJ173" i="1" s="1"/>
  <c r="AH172" i="1"/>
  <c r="AJ172" i="1" s="1"/>
  <c r="AH164" i="1"/>
  <c r="AJ164" i="1" s="1"/>
  <c r="AH163" i="1"/>
  <c r="AJ163" i="1" s="1"/>
  <c r="AH162" i="1"/>
  <c r="AJ162" i="1" s="1"/>
  <c r="AH161" i="1"/>
  <c r="AJ161" i="1" s="1"/>
  <c r="AJ157" i="1"/>
  <c r="AH148" i="1"/>
  <c r="AJ148" i="1" s="1"/>
  <c r="AH147" i="1"/>
  <c r="AJ147" i="1" s="1"/>
  <c r="AH146" i="1"/>
  <c r="AJ146" i="1" s="1"/>
  <c r="AH145" i="1"/>
  <c r="AJ145" i="1" s="1"/>
  <c r="AH142" i="1"/>
  <c r="AJ142" i="1" s="1"/>
  <c r="AH141" i="1"/>
  <c r="AJ141" i="1" s="1"/>
  <c r="AH140" i="1"/>
  <c r="AJ140" i="1" s="1"/>
  <c r="AH139" i="1"/>
  <c r="AJ139" i="1" s="1"/>
  <c r="AH138" i="1"/>
  <c r="AJ138" i="1" s="1"/>
  <c r="AH136" i="1"/>
  <c r="AJ136" i="1" s="1"/>
  <c r="AH116" i="1"/>
  <c r="AJ116" i="1" s="1"/>
  <c r="AH115" i="1"/>
  <c r="AJ115" i="1" s="1"/>
  <c r="AH114" i="1"/>
  <c r="AJ114" i="1" s="1"/>
  <c r="AH113" i="1"/>
  <c r="AJ113" i="1" s="1"/>
  <c r="AH112" i="1"/>
  <c r="AJ112" i="1" s="1"/>
  <c r="AJ103" i="1"/>
  <c r="AJ102" i="1"/>
  <c r="AH101" i="1"/>
  <c r="AJ101" i="1" s="1"/>
  <c r="AH96" i="1"/>
  <c r="AJ96" i="1" s="1"/>
  <c r="AH91" i="1"/>
  <c r="AJ91" i="1" s="1"/>
  <c r="AH87" i="1"/>
  <c r="AJ87" i="1" s="1"/>
  <c r="AH86" i="1"/>
  <c r="AJ86" i="1" s="1"/>
  <c r="AH84" i="1"/>
  <c r="AJ84" i="1" s="1"/>
  <c r="AH83" i="1"/>
  <c r="AJ83" i="1" s="1"/>
  <c r="AH81" i="1"/>
  <c r="AJ81" i="1" s="1"/>
  <c r="AH80" i="1"/>
  <c r="AJ80" i="1" s="1"/>
  <c r="AH79" i="1"/>
  <c r="AJ79" i="1" s="1"/>
  <c r="AH78" i="1"/>
  <c r="AJ78" i="1" s="1"/>
  <c r="AH76" i="1"/>
  <c r="AJ76" i="1" s="1"/>
  <c r="AH35" i="1"/>
  <c r="AJ35" i="1" s="1"/>
  <c r="AJ62" i="1"/>
  <c r="AH61" i="1"/>
  <c r="AJ61" i="1" s="1"/>
  <c r="AH60" i="1"/>
  <c r="AJ60" i="1" s="1"/>
  <c r="AH57" i="1"/>
  <c r="AJ57" i="1" s="1"/>
  <c r="AH56" i="1"/>
  <c r="AJ56" i="1" s="1"/>
  <c r="AH55" i="1"/>
  <c r="AJ55" i="1" s="1"/>
  <c r="AH54" i="1"/>
  <c r="AJ54" i="1" s="1"/>
  <c r="AH53" i="1"/>
  <c r="AJ53" i="1" s="1"/>
  <c r="AH52" i="1"/>
  <c r="AJ52" i="1" s="1"/>
  <c r="AH50" i="1"/>
  <c r="AJ50" i="1" s="1"/>
  <c r="AH49" i="1"/>
  <c r="AJ49" i="1" s="1"/>
  <c r="AJ44" i="1"/>
  <c r="AJ34" i="1"/>
  <c r="AH29" i="1"/>
  <c r="AJ29" i="1" s="1"/>
  <c r="AH27" i="1"/>
  <c r="AJ27" i="1" s="1"/>
  <c r="AH26" i="1"/>
  <c r="AJ26" i="1" s="1"/>
  <c r="AH25" i="1"/>
  <c r="AJ25" i="1" s="1"/>
  <c r="AH24" i="1"/>
  <c r="AJ24" i="1" s="1"/>
  <c r="AH22" i="1"/>
  <c r="AJ22" i="1" s="1"/>
  <c r="AH19" i="1"/>
  <c r="AJ19" i="1" s="1"/>
  <c r="AH18" i="1"/>
  <c r="AJ18" i="1" s="1"/>
  <c r="AH17" i="1"/>
  <c r="AJ17" i="1" s="1"/>
  <c r="AH16" i="1"/>
  <c r="AJ16" i="1" s="1"/>
  <c r="AH15" i="1"/>
  <c r="AJ15" i="1" s="1"/>
  <c r="AH13" i="1"/>
  <c r="AJ13" i="1" s="1"/>
  <c r="AH11" i="1"/>
  <c r="AJ11" i="1" s="1"/>
  <c r="AH10" i="1"/>
  <c r="AJ10" i="1" s="1"/>
  <c r="AJ8" i="1"/>
  <c r="AH5" i="1"/>
  <c r="AJ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100-000001000000}">
      <text>
        <r>
          <rPr>
            <b/>
            <sz val="9"/>
            <color rgb="FF000000"/>
            <rFont val="Times New Roman"/>
            <family val="1"/>
            <charset val="1"/>
          </rPr>
          <t xml:space="preserve">AmtsBp:
</t>
        </r>
        <r>
          <rPr>
            <sz val="9"/>
            <color rgb="FF000000"/>
            <rFont val="Times New Roman"/>
            <family val="1"/>
            <charset val="1"/>
          </rPr>
          <t>Pfad zur Datei (relativ); z.B. Belege.csv</t>
        </r>
      </text>
    </comment>
    <comment ref="A5" authorId="0" shapeId="0" xr:uid="{00000000-0006-0000-0100-000002000000}">
      <text>
        <r>
          <rPr>
            <b/>
            <sz val="9"/>
            <color rgb="FF000000"/>
            <rFont val="Times New Roman"/>
            <family val="1"/>
            <charset val="1"/>
          </rPr>
          <t xml:space="preserve">AmtsBp:
</t>
        </r>
        <r>
          <rPr>
            <sz val="9"/>
            <color rgb="FF000000"/>
            <rFont val="Times New Roman"/>
            <family val="1"/>
            <charset val="1"/>
          </rPr>
          <t>optional</t>
        </r>
      </text>
    </comment>
    <comment ref="A6" authorId="0" shapeId="0" xr:uid="{00000000-0006-0000-0100-000003000000}">
      <text>
        <r>
          <rPr>
            <b/>
            <sz val="9"/>
            <color rgb="FF000000"/>
            <rFont val="Times New Roman"/>
            <family val="1"/>
            <charset val="1"/>
          </rPr>
          <t xml:space="preserve">AmtsBp:
</t>
        </r>
        <r>
          <rPr>
            <sz val="9"/>
            <color rgb="FF000000"/>
            <rFont val="Times New Roman"/>
            <family val="1"/>
            <charset val="1"/>
          </rPr>
          <t>Die Namen dürfen nicht mit Zahlen beginnen und keine Sonder- bzw. Leerzeichen enthalten</t>
        </r>
      </text>
    </comment>
    <comment ref="A7" authorId="0" shapeId="0" xr:uid="{00000000-0006-0000-0100-000004000000}">
      <text>
        <r>
          <rPr>
            <b/>
            <sz val="9"/>
            <color rgb="FF000000"/>
            <rFont val="Times New Roman"/>
            <family val="1"/>
            <charset val="1"/>
          </rPr>
          <t xml:space="preserve">AmtsBp:
</t>
        </r>
        <r>
          <rPr>
            <sz val="9"/>
            <color rgb="FF000000"/>
            <rFont val="Times New Roman"/>
            <family val="1"/>
            <charset val="1"/>
          </rPr>
          <t>Bei csv-Dateien z.B. meist ab Zeile 2, da die erste Zeile Überschriften enthält</t>
        </r>
      </text>
    </comment>
    <comment ref="A15" authorId="0" shapeId="0" xr:uid="{00000000-0006-0000-0100-000005000000}">
      <text>
        <r>
          <rPr>
            <b/>
            <sz val="9"/>
            <color rgb="FF000000"/>
            <rFont val="Times New Roman"/>
            <family val="1"/>
            <charset val="1"/>
          </rPr>
          <t xml:space="preserve">AmtsBp:
</t>
        </r>
        <r>
          <rPr>
            <sz val="9"/>
            <color rgb="FF000000"/>
            <rFont val="Times New Roman"/>
            <family val="1"/>
            <charset val="1"/>
          </rPr>
          <t>Die Namen dürfen nicht mit Zahlen beginnen und keine Sonder- bzw. Leerzeichen enthalten</t>
        </r>
      </text>
    </comment>
    <comment ref="B15" authorId="0" shapeId="0" xr:uid="{00000000-0006-0000-0100-000006000000}">
      <text>
        <r>
          <rPr>
            <b/>
            <sz val="9"/>
            <color rgb="FF000000"/>
            <rFont val="Times New Roman"/>
            <family val="1"/>
            <charset val="1"/>
          </rPr>
          <t xml:space="preserve">AmtsBp:
</t>
        </r>
        <r>
          <rPr>
            <sz val="9"/>
            <color rgb="FF000000"/>
            <rFont val="Times New Roman"/>
            <family val="1"/>
            <charset val="1"/>
          </rPr>
          <t>optional; dient der Beschreibung der Tabelle</t>
        </r>
      </text>
    </comment>
    <comment ref="D15" authorId="0" shapeId="0" xr:uid="{00000000-0006-0000-0100-000007000000}">
      <text>
        <r>
          <rPr>
            <b/>
            <sz val="9"/>
            <color rgb="FF000000"/>
            <rFont val="Times New Roman"/>
            <family val="1"/>
            <charset val="1"/>
          </rPr>
          <t xml:space="preserve">AmtsBp:
</t>
        </r>
        <r>
          <rPr>
            <sz val="9"/>
            <color rgb="FF000000"/>
            <rFont val="Times New Roman"/>
            <family val="1"/>
            <charset val="1"/>
          </rPr>
          <t>Bitte 'X' eintragen</t>
        </r>
      </text>
    </comment>
    <comment ref="E15" authorId="0" shapeId="0" xr:uid="{00000000-0006-0000-0100-000008000000}">
      <text>
        <r>
          <rPr>
            <b/>
            <sz val="9"/>
            <color rgb="FF000000"/>
            <rFont val="Times New Roman"/>
            <family val="1"/>
            <charset val="1"/>
          </rPr>
          <t xml:space="preserve">AmtsBp:
</t>
        </r>
        <r>
          <rPr>
            <sz val="9"/>
            <color rgb="FF000000"/>
            <rFont val="Times New Roman"/>
            <family val="1"/>
            <charset val="1"/>
          </rPr>
          <t>Anzahl der Dezimalstellen</t>
        </r>
      </text>
    </comment>
    <comment ref="G15" authorId="0" shapeId="0" xr:uid="{00000000-0006-0000-0100-000009000000}">
      <text>
        <r>
          <rPr>
            <b/>
            <sz val="9"/>
            <color rgb="FF000000"/>
            <rFont val="Times New Roman"/>
            <family val="1"/>
            <charset val="1"/>
          </rPr>
          <t xml:space="preserve">AmtsBp:
</t>
        </r>
        <r>
          <rPr>
            <sz val="9"/>
            <color rgb="FF000000"/>
            <rFont val="Times New Roman"/>
            <family val="1"/>
            <charset val="1"/>
          </rPr>
          <t>Bitte 'X' eintragen</t>
        </r>
      </text>
    </comment>
    <comment ref="H15" authorId="0" shapeId="0" xr:uid="{00000000-0006-0000-0100-00000A000000}">
      <text>
        <r>
          <rPr>
            <b/>
            <sz val="9"/>
            <color rgb="FF000000"/>
            <rFont val="Times New Roman"/>
            <family val="1"/>
            <charset val="1"/>
          </rPr>
          <t xml:space="preserve">AmtsBp:
</t>
        </r>
        <r>
          <rPr>
            <sz val="9"/>
            <color rgb="FF000000"/>
            <rFont val="Times New Roman"/>
            <family val="1"/>
            <charset val="1"/>
          </rPr>
          <t>Nur bei Alphanum = 'X'</t>
        </r>
      </text>
    </comment>
    <comment ref="J15" authorId="0" shapeId="0" xr:uid="{00000000-0006-0000-0100-00000B000000}">
      <text>
        <r>
          <rPr>
            <b/>
            <sz val="9"/>
            <color rgb="FF000000"/>
            <rFont val="Times New Roman"/>
            <family val="1"/>
            <charset val="1"/>
          </rPr>
          <t xml:space="preserve">AmtsBp:
</t>
        </r>
        <r>
          <rPr>
            <sz val="9"/>
            <color rgb="FF000000"/>
            <rFont val="Times New Roman"/>
            <family val="1"/>
            <charset val="1"/>
          </rPr>
          <t>Bitte 'X' eintragen</t>
        </r>
      </text>
    </comment>
    <comment ref="K15" authorId="0" shapeId="0" xr:uid="{00000000-0006-0000-0100-00000C000000}">
      <text>
        <r>
          <rPr>
            <b/>
            <sz val="9"/>
            <color rgb="FF000000"/>
            <rFont val="Times New Roman"/>
            <family val="1"/>
            <charset val="1"/>
          </rPr>
          <t xml:space="preserve">AmtsBp:
</t>
        </r>
        <r>
          <rPr>
            <sz val="9"/>
            <color rgb="FF000000"/>
            <rFont val="Times New Roman"/>
            <family val="1"/>
            <charset val="1"/>
          </rPr>
          <t>Standard: DD.MM.YYYY</t>
        </r>
      </text>
    </comment>
  </commentList>
</comments>
</file>

<file path=xl/sharedStrings.xml><?xml version="1.0" encoding="utf-8"?>
<sst xmlns="http://schemas.openxmlformats.org/spreadsheetml/2006/main" count="1304" uniqueCount="454">
  <si>
    <t>csv-Dateiname:</t>
  </si>
  <si>
    <t>cashpoint_closing</t>
  </si>
  <si>
    <t>location</t>
  </si>
  <si>
    <t>cashregister</t>
  </si>
  <si>
    <t>slaves</t>
  </si>
  <si>
    <t>pa</t>
  </si>
  <si>
    <t>vat</t>
  </si>
  <si>
    <t>business cases</t>
  </si>
  <si>
    <t>payment</t>
  </si>
  <si>
    <t>cash_per_currency</t>
  </si>
  <si>
    <t>transactions</t>
  </si>
  <si>
    <t>datapayment</t>
  </si>
  <si>
    <t>lines</t>
  </si>
  <si>
    <t>itemamounts</t>
  </si>
  <si>
    <t>subitems</t>
  </si>
  <si>
    <t>transactions_vat</t>
  </si>
  <si>
    <t>lines_vat</t>
  </si>
  <si>
    <t>allocation_groups</t>
  </si>
  <si>
    <t>Feldname Taxonomie</t>
  </si>
  <si>
    <t>Felddefinition Taxonomie</t>
  </si>
  <si>
    <t>Überschrift csv-Export</t>
  </si>
  <si>
    <t>IDEA-Importname:</t>
  </si>
  <si>
    <t>Stamm_Abschluss</t>
  </si>
  <si>
    <t>Stamm_Orte</t>
  </si>
  <si>
    <t>Stamm_Kassen</t>
  </si>
  <si>
    <t>Stamm_Terminals</t>
  </si>
  <si>
    <t>Stamm_Agenturen</t>
  </si>
  <si>
    <t>Stamm_USt</t>
  </si>
  <si>
    <t>Z_GV_Typ</t>
  </si>
  <si>
    <t>Z_Zahlart</t>
  </si>
  <si>
    <t>Z_Waehrungen</t>
  </si>
  <si>
    <t>Bonkopf</t>
  </si>
  <si>
    <t>Bonkopf_Zahlarten</t>
  </si>
  <si>
    <t>Bonpos</t>
  </si>
  <si>
    <t>Bonpos_Preisfindung</t>
  </si>
  <si>
    <t>Bonpos_Zusatzinfo</t>
  </si>
  <si>
    <t>Bonkopf_USt</t>
  </si>
  <si>
    <t>Bonpos_USt</t>
  </si>
  <si>
    <t>Bonkopf_AbrKreis</t>
  </si>
  <si>
    <t>Feldname index.xml</t>
  </si>
  <si>
    <t>Felddefinition index.xml</t>
  </si>
  <si>
    <t>cash_point_closing</t>
  </si>
  <si>
    <t>cashpointclosing.csv</t>
  </si>
  <si>
    <t>number</t>
  </si>
  <si>
    <t>(eindeutig)</t>
  </si>
  <si>
    <t>x</t>
  </si>
  <si>
    <t>number (0 NK)</t>
  </si>
  <si>
    <t>Z_NR</t>
  </si>
  <si>
    <t>taxonomy_version</t>
  </si>
  <si>
    <t>string (5)</t>
  </si>
  <si>
    <t>head</t>
  </si>
  <si>
    <t>creation_date</t>
  </si>
  <si>
    <t>string (25)</t>
  </si>
  <si>
    <t>Z_ERSTELLUNG</t>
  </si>
  <si>
    <t>start_sequence_number</t>
  </si>
  <si>
    <t>end_sequence_number</t>
  </si>
  <si>
    <t>company</t>
  </si>
  <si>
    <t>name</t>
  </si>
  <si>
    <t>company_name</t>
  </si>
  <si>
    <t>NAME</t>
  </si>
  <si>
    <t>address</t>
  </si>
  <si>
    <t>street</t>
  </si>
  <si>
    <t>company_street</t>
  </si>
  <si>
    <t>STRASSE</t>
  </si>
  <si>
    <t>postal_code</t>
  </si>
  <si>
    <t>company_postal_code</t>
  </si>
  <si>
    <t>PLZ</t>
  </si>
  <si>
    <t>city</t>
  </si>
  <si>
    <t>company_city</t>
  </si>
  <si>
    <t>ORT</t>
  </si>
  <si>
    <t>country_code</t>
  </si>
  <si>
    <t>string (3)</t>
  </si>
  <si>
    <t>company_country_code</t>
  </si>
  <si>
    <t>LAND</t>
  </si>
  <si>
    <t>tax_number</t>
  </si>
  <si>
    <t>company_tax_number</t>
  </si>
  <si>
    <t>STNR</t>
  </si>
  <si>
    <t>vat_id_number</t>
  </si>
  <si>
    <t>company_vat_id_number</t>
  </si>
  <si>
    <t>USTID</t>
  </si>
  <si>
    <t>location.csv</t>
  </si>
  <si>
    <t>LOC_NAME</t>
  </si>
  <si>
    <t>LOC_STRASSE</t>
  </si>
  <si>
    <t>LOC_PLZ</t>
  </si>
  <si>
    <t>LOC_ORT</t>
  </si>
  <si>
    <t>LOC_LAND</t>
  </si>
  <si>
    <t>LOC_USTID</t>
  </si>
  <si>
    <t>cash_register</t>
  </si>
  <si>
    <t>cashregister.csv</t>
  </si>
  <si>
    <t>id</t>
  </si>
  <si>
    <t>brand</t>
  </si>
  <si>
    <t>KASSE_BRAND</t>
  </si>
  <si>
    <t>model</t>
  </si>
  <si>
    <t>KASSE_MODELL</t>
  </si>
  <si>
    <t>serial_number</t>
  </si>
  <si>
    <t>KASSE_SERIENNR</t>
  </si>
  <si>
    <t>software</t>
  </si>
  <si>
    <t>version</t>
  </si>
  <si>
    <t>slaves.csv</t>
  </si>
  <si>
    <t>slave_id</t>
  </si>
  <si>
    <t>TERMINAL_ID</t>
  </si>
  <si>
    <t>TERMINAL_BRAND</t>
  </si>
  <si>
    <t>TERMINAL_MODELL</t>
  </si>
  <si>
    <t>TERMINAL_SERIENNR</t>
  </si>
  <si>
    <t>purchaser_agencies</t>
  </si>
  <si>
    <t>pa.csv</t>
  </si>
  <si>
    <t>AGENTUR_ID</t>
  </si>
  <si>
    <t>AGENTUR_NAME</t>
  </si>
  <si>
    <t>AGENTUR_STRASSE</t>
  </si>
  <si>
    <t>address_postal_code</t>
  </si>
  <si>
    <t>AGENTUR_PLZ</t>
  </si>
  <si>
    <t>address_city</t>
  </si>
  <si>
    <t>address_country_code</t>
  </si>
  <si>
    <t>AGENTUR_LAND</t>
  </si>
  <si>
    <t>AGENTUR_STNR</t>
  </si>
  <si>
    <t>AGENTUR_USTID</t>
  </si>
  <si>
    <t>vat_definitions</t>
  </si>
  <si>
    <t>vat.csv</t>
  </si>
  <si>
    <t>vat_id</t>
  </si>
  <si>
    <t>UST_SCHLUESSEL</t>
  </si>
  <si>
    <t>percentage</t>
  </si>
  <si>
    <t>number (2 NK)</t>
  </si>
  <si>
    <t>UST_SATZ</t>
  </si>
  <si>
    <t>description</t>
  </si>
  <si>
    <t>UST_BESCHR</t>
  </si>
  <si>
    <t>base_currency_code</t>
  </si>
  <si>
    <t>business_cases</t>
  </si>
  <si>
    <t>businesscases.csv</t>
  </si>
  <si>
    <t>GV_TYP</t>
  </si>
  <si>
    <t>purchaser_agency_id</t>
  </si>
  <si>
    <t>amounts_per_vat_id</t>
  </si>
  <si>
    <t>incl_vat</t>
  </si>
  <si>
    <t>number (5 NK)</t>
  </si>
  <si>
    <t>excl_vat</t>
  </si>
  <si>
    <t>full_amount</t>
  </si>
  <si>
    <t>payment_full_amount</t>
  </si>
  <si>
    <t>cash_amount</t>
  </si>
  <si>
    <t>payment_cash_amount</t>
  </si>
  <si>
    <t>cash_amounts_by_currency</t>
  </si>
  <si>
    <t>cash_per_currency.csv</t>
  </si>
  <si>
    <t>currency_code</t>
  </si>
  <si>
    <t>ZAHLART_WAEH</t>
  </si>
  <si>
    <t>amount</t>
  </si>
  <si>
    <t>ZAHLART_BETRAG_WAEH</t>
  </si>
  <si>
    <t>payment_types</t>
  </si>
  <si>
    <t>payment.csv</t>
  </si>
  <si>
    <t>ZAHLART_NAME</t>
  </si>
  <si>
    <t>type</t>
  </si>
  <si>
    <t>ZAHLART_TYP</t>
  </si>
  <si>
    <t>transactions.csv</t>
  </si>
  <si>
    <t>BON_TYP</t>
  </si>
  <si>
    <t>closing_cash_register_id</t>
  </si>
  <si>
    <t>closing_cash_register_slave_id</t>
  </si>
  <si>
    <t>storno</t>
  </si>
  <si>
    <t>boolean</t>
  </si>
  <si>
    <t>BON_STORNO</t>
  </si>
  <si>
    <t>string (1) -&gt; 0,1 oder ""</t>
  </si>
  <si>
    <t>sequence_number</t>
  </si>
  <si>
    <t>BON_NR</t>
  </si>
  <si>
    <t>timestamp_start</t>
  </si>
  <si>
    <t>BON_START</t>
  </si>
  <si>
    <t>timestamp_end</t>
  </si>
  <si>
    <t>BON_ENDE</t>
  </si>
  <si>
    <t>user</t>
  </si>
  <si>
    <t>user_id</t>
  </si>
  <si>
    <t>BEDIENER_ID</t>
  </si>
  <si>
    <t>user_name</t>
  </si>
  <si>
    <t>BEDIENER_NAME</t>
  </si>
  <si>
    <t>buyer</t>
  </si>
  <si>
    <t>buyer_name</t>
  </si>
  <si>
    <t>KUNDE_NAME</t>
  </si>
  <si>
    <t>buyer_id</t>
  </si>
  <si>
    <t>KUNDE_ID</t>
  </si>
  <si>
    <t>buyer_street</t>
  </si>
  <si>
    <t>KUNDE_STRASSE</t>
  </si>
  <si>
    <t>buyer_postal_code</t>
  </si>
  <si>
    <t>KUNDE_PLZ</t>
  </si>
  <si>
    <t>buyer_city</t>
  </si>
  <si>
    <t>KUNDE_ORT</t>
  </si>
  <si>
    <t>buyer_country_code</t>
  </si>
  <si>
    <t>KUNDE_LAND</t>
  </si>
  <si>
    <t>buyer_vat_id_number</t>
  </si>
  <si>
    <t>KUNDE_USTID</t>
  </si>
  <si>
    <t>ABRECHNUNGSKREIS</t>
  </si>
  <si>
    <t>full_amount_incl_vat</t>
  </si>
  <si>
    <t>UMS_BRUTTO</t>
  </si>
  <si>
    <t>notes</t>
  </si>
  <si>
    <t>datapayment.csv</t>
  </si>
  <si>
    <t>ZAHLWAEH_CODE</t>
  </si>
  <si>
    <t>foreign_amount</t>
  </si>
  <si>
    <t>ZAHLWAEH_BETRAG</t>
  </si>
  <si>
    <t>BASISWAEH_BETRAG</t>
  </si>
  <si>
    <t>lines.csv</t>
  </si>
  <si>
    <t>line_number</t>
  </si>
  <si>
    <t>POS_ZEILE</t>
  </si>
  <si>
    <t>source_cash_register</t>
  </si>
  <si>
    <t>cash_register_id</t>
  </si>
  <si>
    <t>POS_TERMINAL_ID</t>
  </si>
  <si>
    <t>in_house</t>
  </si>
  <si>
    <t>INHAUS</t>
  </si>
  <si>
    <t>P_STORNO</t>
  </si>
  <si>
    <t>text</t>
  </si>
  <si>
    <t>item</t>
  </si>
  <si>
    <t>item_number</t>
  </si>
  <si>
    <t>ART_NR</t>
  </si>
  <si>
    <t>gtin</t>
  </si>
  <si>
    <t>item_gtin</t>
  </si>
  <si>
    <t>GTIN</t>
  </si>
  <si>
    <t>quantity</t>
  </si>
  <si>
    <t>number (3 NK)</t>
  </si>
  <si>
    <t>item_quantity</t>
  </si>
  <si>
    <t>MENGE</t>
  </si>
  <si>
    <t>quantity_factor</t>
  </si>
  <si>
    <t>item_quantity_factor</t>
  </si>
  <si>
    <t>FAKTOR</t>
  </si>
  <si>
    <t>quantity_measure</t>
  </si>
  <si>
    <t>item_quantity_measure</t>
  </si>
  <si>
    <t>EINHEIT</t>
  </si>
  <si>
    <t>group_id</t>
  </si>
  <si>
    <t>item_group_id</t>
  </si>
  <si>
    <t>WARENGR_ID</t>
  </si>
  <si>
    <t>group_name</t>
  </si>
  <si>
    <t>item_group_name</t>
  </si>
  <si>
    <t>WARENGR</t>
  </si>
  <si>
    <t>price_per_unit</t>
  </si>
  <si>
    <t>item_price_per_unit</t>
  </si>
  <si>
    <t>STK_BR</t>
  </si>
  <si>
    <t>itemamounts.csv (Zeilen werden nur geschrieben, wenn discount oder extra_amount ungleich null sind)</t>
  </si>
  <si>
    <t>TYP</t>
  </si>
  <si>
    <t>base_amounts_per_vat_id</t>
  </si>
  <si>
    <t>discounts_per_vat_id</t>
  </si>
  <si>
    <t>extra_amounts_per_vat_id</t>
  </si>
  <si>
    <t>sub_items</t>
  </si>
  <si>
    <t>subitems.csv (Zeilen werden nur geschrieben, wenn subitems vorhanden sind)</t>
  </si>
  <si>
    <t>amount_per_vat_id</t>
  </si>
  <si>
    <t>base_vat_id</t>
  </si>
  <si>
    <t>Erläuterungen:</t>
  </si>
  <si>
    <t>Alle csv-Felder werden im Export nach csv geschrieben. Sind die Felder in der json-Datei nicht gefüllt, werden sie leer in der csv ausgegeben.</t>
  </si>
  <si>
    <t>Boolean-Felder werden mit 0 oder 1 exportiert und in IDEA als Text importiert. Sind sie in der json-Datei nicht vorhanden, wird ein Leerstring ausgegeben</t>
  </si>
  <si>
    <t>ToDo AG:</t>
  </si>
  <si>
    <t>notes auf lines-Ebene erforderlich?</t>
  </si>
  <si>
    <t>add_vat-Info bei vat_definition?</t>
  </si>
  <si>
    <t>subitem: discount/extra_amount</t>
  </si>
  <si>
    <t>payment_type_ID erforderlich?</t>
  </si>
  <si>
    <t>payment_full_amount nicht erforderlich</t>
  </si>
  <si>
    <t>&lt;?xml version="1.0" encoding="UTF-8"?&gt;</t>
  </si>
  <si>
    <t>Beschreibung der zu importierenden Tabelle</t>
  </si>
  <si>
    <t>&lt;!DOCTYPE DataSet SYSTEM "gdpdu-01-09-2004.dtd"&gt;</t>
  </si>
  <si>
    <t>&lt;DataSet&gt;</t>
  </si>
  <si>
    <t>Name der Rohdatei</t>
  </si>
  <si>
    <t>&lt;Version&gt;1.0&lt;/Version&gt;</t>
  </si>
  <si>
    <t xml:space="preserve">Beschreibung </t>
  </si>
  <si>
    <t>&lt;DataSupplier&gt;</t>
  </si>
  <si>
    <t>IDEA-Name der Tabelle</t>
  </si>
  <si>
    <t>&lt;Name&gt;&lt;/Name&gt;</t>
  </si>
  <si>
    <t>Daten beginnen ab Zeile…</t>
  </si>
  <si>
    <t>&lt;Location&gt;&lt;/Location&gt;</t>
  </si>
  <si>
    <t>Dezimal-Symbol</t>
  </si>
  <si>
    <t>,</t>
  </si>
  <si>
    <t>&lt;Comment&gt;Datentraegerueberlassung nach GDPdU vom 12.11.2010, &lt;/Comment&gt;</t>
  </si>
  <si>
    <t>Tausender-Trennzeichen</t>
  </si>
  <si>
    <t>.</t>
  </si>
  <si>
    <t>&lt;UTF8/&gt;</t>
  </si>
  <si>
    <t>(leer = ANSI)</t>
  </si>
  <si>
    <t>&lt;/DataSupplier&gt;</t>
  </si>
  <si>
    <t>Texteinschlußzeichen</t>
  </si>
  <si>
    <t>&lt;Media&gt;</t>
  </si>
  <si>
    <t>Feldtrenner</t>
  </si>
  <si>
    <t>&amp;#59;</t>
  </si>
  <si>
    <t>Semikolon</t>
  </si>
  <si>
    <t>&lt;Name&gt;CD Nummer 1&lt;/Name&gt;</t>
  </si>
  <si>
    <t>Datensatztrenner</t>
  </si>
  <si>
    <t>&amp;#13;&amp;#10;</t>
  </si>
  <si>
    <t>CRLF</t>
  </si>
  <si>
    <t>&lt;Table&gt;</t>
  </si>
  <si>
    <t>Beschreibung der Felddefinitionen der Tabelle</t>
  </si>
  <si>
    <t>Numerisch</t>
  </si>
  <si>
    <t>Zeichenfeld</t>
  </si>
  <si>
    <t>Datumsfeld</t>
  </si>
  <si>
    <t>Name</t>
  </si>
  <si>
    <t>Beschreibung</t>
  </si>
  <si>
    <t>Num</t>
  </si>
  <si>
    <t>Dez</t>
  </si>
  <si>
    <t>Alphanum</t>
  </si>
  <si>
    <t>Zeichenanzahl</t>
  </si>
  <si>
    <t>Datum</t>
  </si>
  <si>
    <t>Datumsmaske</t>
  </si>
  <si>
    <t xml:space="preserve"> </t>
  </si>
  <si>
    <t xml:space="preserve">      &lt;/VariableLength&gt;</t>
  </si>
  <si>
    <t xml:space="preserve">    &lt;/Table&gt;</t>
  </si>
  <si>
    <t xml:space="preserve">  &lt;/Media&gt;</t>
  </si>
  <si>
    <t>&lt;/DataSet&gt;</t>
  </si>
  <si>
    <t>AGENTUR_ORT</t>
  </si>
  <si>
    <t>source_cash_register_slave_id</t>
  </si>
  <si>
    <t>xyz.csv</t>
  </si>
  <si>
    <t>xyz</t>
  </si>
  <si>
    <t>GV_NAME</t>
  </si>
  <si>
    <t>business_case</t>
  </si>
  <si>
    <t>KUNDE_TYP</t>
  </si>
  <si>
    <t>closing_cash_register</t>
  </si>
  <si>
    <t>TAXONOMIE_VERSION</t>
  </si>
  <si>
    <t>KEINE_UST_ZUORDNUNG</t>
  </si>
  <si>
    <t>transaction_notes</t>
  </si>
  <si>
    <t>UStNichtErmittelbar</t>
  </si>
  <si>
    <t>voucher_id</t>
  </si>
  <si>
    <t>GUTSCHEIN_NR</t>
  </si>
  <si>
    <t>ARTIKELTEXT</t>
  </si>
  <si>
    <t>date</t>
  </si>
  <si>
    <t>bc_type</t>
  </si>
  <si>
    <t>bc_name</t>
  </si>
  <si>
    <t>s. a. transaction/head/</t>
  </si>
  <si>
    <t>(= head/cash_register_id)</t>
  </si>
  <si>
    <t>ecr_id</t>
  </si>
  <si>
    <t>ID</t>
  </si>
  <si>
    <t>first_id</t>
  </si>
  <si>
    <t>last_id</t>
  </si>
  <si>
    <t>UmsatzsteuerNichtErmittelbar</t>
  </si>
  <si>
    <t>references</t>
  </si>
  <si>
    <t>cash_point_closing_id</t>
  </si>
  <si>
    <t>REF_TYP</t>
  </si>
  <si>
    <t>REF_DATUM</t>
  </si>
  <si>
    <t>REF_Z_NR</t>
  </si>
  <si>
    <t>reference</t>
  </si>
  <si>
    <t>BON_ID</t>
  </si>
  <si>
    <t>line_id</t>
  </si>
  <si>
    <t>KASSE_BASISWAEH_CODE</t>
  </si>
  <si>
    <t>Bon_
Referenzen</t>
  </si>
  <si>
    <t>REF_BON_ID</t>
  </si>
  <si>
    <t>BON_NAME</t>
  </si>
  <si>
    <t>Stammdatenmodul</t>
  </si>
  <si>
    <t>Kassenabschlussmodul</t>
  </si>
  <si>
    <t>Einzelaufzeichnungsmodul</t>
  </si>
  <si>
    <t>data</t>
  </si>
  <si>
    <t>REF_NAME</t>
  </si>
  <si>
    <t>Anpassung notwendig</t>
  </si>
  <si>
    <t>Länge 60 Zeichen</t>
  </si>
  <si>
    <t>Länge 30 Zeichen</t>
  </si>
  <si>
    <t>Länge 25 Zeichen</t>
  </si>
  <si>
    <t>Feld REF_NAME fehlt noch</t>
  </si>
  <si>
    <t>Feld REF_Z_KASSE_ID fehlt noch</t>
  </si>
  <si>
    <t>Feldname REF_Z_KASSE_ID</t>
  </si>
  <si>
    <t>REF_Z_KASSE_ID</t>
  </si>
  <si>
    <t>string (40)</t>
  </si>
  <si>
    <t>string (50)</t>
  </si>
  <si>
    <t>string (255)</t>
  </si>
  <si>
    <t>string (60)</t>
  </si>
  <si>
    <t>string (10)</t>
  </si>
  <si>
    <t>string (62)</t>
  </si>
  <si>
    <t>string (20)</t>
  </si>
  <si>
    <t>string (15)</t>
  </si>
  <si>
    <t>string (30)</t>
  </si>
  <si>
    <t>tse</t>
  </si>
  <si>
    <t>Stamm_
TSE</t>
  </si>
  <si>
    <t>security/tse</t>
  </si>
  <si>
    <t>modules</t>
  </si>
  <si>
    <t>signature_algorithm</t>
  </si>
  <si>
    <t>log_time_format</t>
  </si>
  <si>
    <t>process_data_encoding</t>
  </si>
  <si>
    <t>string (68)</t>
  </si>
  <si>
    <t>string (21)</t>
  </si>
  <si>
    <t>string (31)</t>
  </si>
  <si>
    <t>string (8192)</t>
  </si>
  <si>
    <t>TSE_ID</t>
  </si>
  <si>
    <t>TSE_SERIAL</t>
  </si>
  <si>
    <t>TSE_PD_ENCODING</t>
  </si>
  <si>
    <t>transactions_
tse</t>
  </si>
  <si>
    <t>TSE_Transaktionen</t>
  </si>
  <si>
    <t>module_id</t>
  </si>
  <si>
    <t>transaction_number</t>
  </si>
  <si>
    <t>start_transaction_log_time</t>
  </si>
  <si>
    <t>finish_transaction_log_time</t>
  </si>
  <si>
    <t>finish_transaction_signature_counter</t>
  </si>
  <si>
    <t>finish_transaction_signature</t>
  </si>
  <si>
    <t>string (512)</t>
  </si>
  <si>
    <t>tse.csv</t>
  </si>
  <si>
    <t>transactions_tse.csv</t>
  </si>
  <si>
    <t>allocation_groups.csv</t>
  </si>
  <si>
    <t>lines_vat.csv</t>
  </si>
  <si>
    <t>transactions_vat.csv</t>
  </si>
  <si>
    <t>business_date</t>
  </si>
  <si>
    <t>Z_BUCHUNGSTAG</t>
  </si>
  <si>
    <t>Mussfelder sind dunkel hinterlegt. Die übrigen Felder sind zwingend mit Werten zu hinterlegen, sofern das Aufzeichnungssystem Daten hierzu enthält. Details: siehe DSFinV-K</t>
  </si>
  <si>
    <t>TSE_ZEITFORMAT</t>
  </si>
  <si>
    <t>TSE_TANR</t>
  </si>
  <si>
    <t>TSE_TA_START</t>
  </si>
  <si>
    <t>TSE_TA_ENDE</t>
  </si>
  <si>
    <t>TSE_TA_SIGZ</t>
  </si>
  <si>
    <t>TSE_TA_SIG</t>
  </si>
  <si>
    <t>finish_transaction_process_type</t>
  </si>
  <si>
    <t>TSE_TA_VORGANGSART</t>
  </si>
  <si>
    <t>TSE_PUBLIC_KEY</t>
  </si>
  <si>
    <t>Zu extrahieren aus "certificate"</t>
  </si>
  <si>
    <t>(Zeit aus Kasse)</t>
  </si>
  <si>
    <t>error_description</t>
  </si>
  <si>
    <t>TSE_TA_FEHLER</t>
  </si>
  <si>
    <t>string (200)</t>
  </si>
  <si>
    <t>TSE_SIG_ALGO</t>
  </si>
  <si>
    <t>KASSE_SW_BRAND</t>
  </si>
  <si>
    <t>KASSE_SW_VERSION</t>
  </si>
  <si>
    <t>TERMINAL_SW_BRAND</t>
  </si>
  <si>
    <t>TERMINAL_SW_VERSION</t>
  </si>
  <si>
    <t>Z_START_ID</t>
  </si>
  <si>
    <t>Z_ENDE_ID</t>
  </si>
  <si>
    <t>Z_KASSE_ID</t>
  </si>
  <si>
    <t>Z_UMS_BRUTTO</t>
  </si>
  <si>
    <t>Z_UMS_NETTO</t>
  </si>
  <si>
    <t>Z_USt</t>
  </si>
  <si>
    <t>Z_SE_ZAHLUNGEN</t>
  </si>
  <si>
    <t>Z_SE_BARZAHLUNGEN</t>
  </si>
  <si>
    <t>Z_ZAHLART_BETRAG</t>
  </si>
  <si>
    <t>BON_BRUTTO</t>
  </si>
  <si>
    <t>BON_NETTO</t>
  </si>
  <si>
    <t>BON_UST</t>
  </si>
  <si>
    <t>BON_NOTIZ</t>
  </si>
  <si>
    <t>POS_UST</t>
  </si>
  <si>
    <t>POS_BRUTTO</t>
  </si>
  <si>
    <t>POS_NETTO</t>
  </si>
  <si>
    <t>PF_BRUTTO</t>
  </si>
  <si>
    <t>PF_NETTO</t>
  </si>
  <si>
    <t>PF_UST</t>
  </si>
  <si>
    <t>ZI_BASISPREIS_BRUTTO</t>
  </si>
  <si>
    <t>ZI_BASISPREIS_NETTO</t>
  </si>
  <si>
    <t>ZI_BASISPREIS_UST</t>
  </si>
  <si>
    <t>Z_UST</t>
  </si>
  <si>
    <t>ZI_ART_NR</t>
  </si>
  <si>
    <t>ZI_GTIN</t>
  </si>
  <si>
    <t>ZI_NAME</t>
  </si>
  <si>
    <t>ZI_MENGE</t>
  </si>
  <si>
    <t>ZI_FAKTOR</t>
  </si>
  <si>
    <t>ZI_EINHEIT</t>
  </si>
  <si>
    <t>ZI_WARENGR_ID</t>
  </si>
  <si>
    <t>ZI_WARENGR</t>
  </si>
  <si>
    <t xml:space="preserve">erste 1.000 Zeichen </t>
  </si>
  <si>
    <t>string(512), base 64</t>
  </si>
  <si>
    <t>string (68), base 64</t>
  </si>
  <si>
    <t>TSE_Zertifikat_I</t>
  </si>
  <si>
    <t>TSE_Zertifikat_II</t>
  </si>
  <si>
    <t>Rest</t>
  </si>
  <si>
    <t>string(1.000), base 64</t>
  </si>
  <si>
    <t xml:space="preserve">certificate (base 64)
</t>
  </si>
  <si>
    <t>string(5)</t>
  </si>
  <si>
    <t>process_data</t>
  </si>
  <si>
    <t>string (1000)</t>
  </si>
  <si>
    <t>string(30)</t>
  </si>
  <si>
    <t>string (70)</t>
  </si>
  <si>
    <t>string (55)</t>
  </si>
  <si>
    <t>number (5NK)</t>
  </si>
  <si>
    <t>ZI_UST_SCHLUESSEL</t>
  </si>
  <si>
    <t>TSE_VORGANGSDATEN</t>
  </si>
  <si>
    <t>Diese Felder</t>
  </si>
  <si>
    <t xml:space="preserve">müssen mit Werten gefüllt werden, sofern die Bonposition Daten zu Artikeln hierzu enthält. Details: siehe DSFinV-K </t>
  </si>
  <si>
    <t>Schema DSFinV-K/DFKA-Taxonomie Version 2.3</t>
  </si>
  <si>
    <t>tax_number und vat_id_number: Es muss jeweils mindestens ein Feld gefüllt sein</t>
  </si>
  <si>
    <t>Stand Uebersicht: 12.01.2022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</si>
</sst>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1"/>
      <color rgb="FF3F3F76"/>
      <name val="Calibri"/>
      <family val="2"/>
      <charset val="1"/>
    </font>
    <font>
      <sz val="12"/>
      <color rgb="FF9C6500"/>
      <name val="Calibri"/>
      <family val="2"/>
      <charset val="1"/>
    </font>
    <font>
      <b/>
      <sz val="11"/>
      <color rgb="FFFA7D00"/>
      <name val="Calibri"/>
      <family val="2"/>
      <charset val="1"/>
    </font>
    <font>
      <sz val="20"/>
      <color rgb="FF0000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color rgb="FF9C0006"/>
      <name val="Calibri"/>
      <family val="2"/>
      <charset val="1"/>
    </font>
    <font>
      <sz val="18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trike/>
      <sz val="11"/>
      <color rgb="FF000000"/>
      <name val="Calibri"/>
      <family val="2"/>
      <charset val="1"/>
    </font>
    <font>
      <b/>
      <strike/>
      <sz val="11"/>
      <color rgb="FF3F3F3F"/>
      <name val="Calibri"/>
      <family val="2"/>
      <charset val="1"/>
    </font>
    <font>
      <i/>
      <sz val="10"/>
      <color rgb="FF000000"/>
      <name val="Calibri"/>
      <family val="2"/>
      <charset val="1"/>
    </font>
    <font>
      <strike/>
      <sz val="11"/>
      <color rgb="FF9C6500"/>
      <name val="Calibri"/>
      <family val="2"/>
      <charset val="1"/>
    </font>
    <font>
      <sz val="10"/>
      <name val="Arial"/>
      <family val="2"/>
      <charset val="1"/>
    </font>
    <font>
      <b/>
      <u/>
      <sz val="10"/>
      <name val="Arial"/>
      <family val="2"/>
      <charset val="1"/>
    </font>
    <font>
      <b/>
      <sz val="9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7" fillId="2" borderId="0" applyBorder="0" applyProtection="0"/>
    <xf numFmtId="0" fontId="18" fillId="5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2" applyNumberFormat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3" fillId="0" borderId="1" xfId="0" applyFont="1" applyBorder="1" applyAlignment="1" applyProtection="1">
      <alignment horizontal="center" wrapText="1"/>
    </xf>
    <xf numFmtId="0" fontId="3" fillId="0" borderId="1" xfId="0" applyFont="1" applyBorder="1" applyAlignment="1" applyProtection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/>
    <xf numFmtId="0" fontId="5" fillId="0" borderId="0" xfId="0" applyFont="1" applyBorder="1" applyAlignment="1" applyProtection="1"/>
    <xf numFmtId="0" fontId="0" fillId="0" borderId="0" xfId="0" applyBorder="1" applyAlignment="1" applyProtection="1">
      <alignment horizontal="center"/>
    </xf>
    <xf numFmtId="0" fontId="0" fillId="0" borderId="0" xfId="0" applyBorder="1" applyAlignment="1" applyProtection="1">
      <alignment horizontal="center" wrapText="1"/>
    </xf>
    <xf numFmtId="0" fontId="6" fillId="0" borderId="0" xfId="0" applyFont="1" applyAlignment="1" applyProtection="1"/>
    <xf numFmtId="0" fontId="7" fillId="2" borderId="0" xfId="1" applyBorder="1" applyAlignment="1" applyProtection="1"/>
    <xf numFmtId="0" fontId="8" fillId="0" borderId="0" xfId="0" applyFont="1"/>
    <xf numFmtId="0" fontId="0" fillId="0" borderId="0" xfId="0" applyBorder="1" applyAlignment="1" applyProtection="1"/>
    <xf numFmtId="0" fontId="9" fillId="0" borderId="0" xfId="0" applyFont="1"/>
    <xf numFmtId="0" fontId="10" fillId="0" borderId="0" xfId="0" applyFont="1"/>
    <xf numFmtId="0" fontId="11" fillId="0" borderId="0" xfId="0" applyFont="1" applyAlignment="1" applyProtection="1"/>
    <xf numFmtId="0" fontId="0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Border="1" applyAlignment="1" applyProtection="1"/>
    <xf numFmtId="0" fontId="0" fillId="0" borderId="0" xfId="0" applyFont="1" applyAlignment="1">
      <alignment horizontal="left"/>
    </xf>
    <xf numFmtId="0" fontId="1" fillId="0" borderId="0" xfId="0" applyFont="1" applyBorder="1" applyAlignment="1" applyProtection="1"/>
    <xf numFmtId="0" fontId="0" fillId="0" borderId="0" xfId="0" applyAlignment="1">
      <alignment horizontal="left"/>
    </xf>
    <xf numFmtId="0" fontId="14" fillId="3" borderId="0" xfId="0" applyFont="1" applyFill="1" applyAlignment="1">
      <alignment horizontal="left"/>
    </xf>
    <xf numFmtId="0" fontId="15" fillId="0" borderId="0" xfId="0" applyFont="1"/>
    <xf numFmtId="0" fontId="14" fillId="4" borderId="1" xfId="0" applyFont="1" applyFill="1" applyBorder="1" applyAlignment="1" applyProtection="1">
      <alignment horizontal="center"/>
      <protection locked="0"/>
    </xf>
    <xf numFmtId="0" fontId="14" fillId="4" borderId="1" xfId="0" applyFont="1" applyFill="1" applyBorder="1" applyAlignment="1" applyProtection="1">
      <alignment wrapText="1"/>
      <protection locked="0"/>
    </xf>
    <xf numFmtId="0" fontId="0" fillId="4" borderId="1" xfId="0" applyFill="1" applyBorder="1" applyProtection="1">
      <protection locked="0"/>
    </xf>
    <xf numFmtId="0" fontId="0" fillId="0" borderId="0" xfId="0" applyAlignment="1">
      <alignment horizontal="right"/>
    </xf>
    <xf numFmtId="0" fontId="0" fillId="6" borderId="0" xfId="0" applyFont="1" applyFill="1" applyAlignment="1">
      <alignment horizontal="left"/>
    </xf>
    <xf numFmtId="0" fontId="19" fillId="7" borderId="0" xfId="3"/>
    <xf numFmtId="0" fontId="19" fillId="7" borderId="0" xfId="3" applyAlignment="1" applyProtection="1"/>
    <xf numFmtId="0" fontId="19" fillId="7" borderId="2" xfId="3" applyBorder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 applyProtection="1">
      <alignment horizontal="center"/>
    </xf>
    <xf numFmtId="0" fontId="0" fillId="0" borderId="1" xfId="0" applyBorder="1" applyAlignment="1" applyProtection="1"/>
    <xf numFmtId="0" fontId="5" fillId="0" borderId="1" xfId="0" applyFont="1" applyBorder="1" applyAlignment="1" applyProtection="1"/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0" fillId="0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3" fillId="0" borderId="1" xfId="0" applyFont="1" applyBorder="1" applyAlignment="1" applyProtection="1">
      <alignment horizontal="center"/>
    </xf>
    <xf numFmtId="0" fontId="13" fillId="0" borderId="1" xfId="0" applyFont="1" applyBorder="1" applyAlignment="1" applyProtection="1"/>
    <xf numFmtId="0" fontId="0" fillId="0" borderId="1" xfId="0" applyFont="1" applyBorder="1" applyAlignment="1">
      <alignment horizontal="left"/>
    </xf>
    <xf numFmtId="0" fontId="20" fillId="8" borderId="2" xfId="4" applyAlignment="1" applyProtection="1"/>
    <xf numFmtId="0" fontId="18" fillId="5" borderId="1" xfId="2" applyBorder="1" applyAlignment="1">
      <alignment horizontal="center"/>
    </xf>
    <xf numFmtId="0" fontId="18" fillId="5" borderId="0" xfId="2" applyAlignment="1">
      <alignment horizontal="center"/>
    </xf>
    <xf numFmtId="0" fontId="19" fillId="7" borderId="1" xfId="3" applyBorder="1" applyAlignment="1">
      <alignment horizontal="center"/>
    </xf>
    <xf numFmtId="0" fontId="19" fillId="7" borderId="0" xfId="3" applyAlignment="1">
      <alignment horizontal="left"/>
    </xf>
    <xf numFmtId="0" fontId="20" fillId="8" borderId="6" xfId="4" applyBorder="1" applyAlignment="1">
      <alignment horizontal="center" wrapText="1"/>
    </xf>
    <xf numFmtId="0" fontId="20" fillId="8" borderId="7" xfId="4" applyBorder="1" applyAlignment="1">
      <alignment horizontal="center"/>
    </xf>
    <xf numFmtId="0" fontId="20" fillId="8" borderId="8" xfId="4" applyBorder="1" applyAlignment="1">
      <alignment horizontal="center"/>
    </xf>
    <xf numFmtId="0" fontId="20" fillId="8" borderId="9" xfId="4" applyBorder="1" applyAlignment="1">
      <alignment horizontal="center"/>
    </xf>
    <xf numFmtId="0" fontId="20" fillId="8" borderId="10" xfId="4" applyBorder="1" applyAlignment="1">
      <alignment horizontal="center"/>
    </xf>
    <xf numFmtId="0" fontId="20" fillId="8" borderId="11" xfId="4" applyBorder="1" applyAlignment="1">
      <alignment horizontal="center"/>
    </xf>
    <xf numFmtId="0" fontId="18" fillId="5" borderId="4" xfId="2" applyBorder="1" applyAlignment="1" applyProtection="1">
      <alignment horizontal="center"/>
    </xf>
    <xf numFmtId="0" fontId="18" fillId="5" borderId="3" xfId="2" applyBorder="1" applyAlignment="1" applyProtection="1">
      <alignment horizontal="center"/>
    </xf>
    <xf numFmtId="0" fontId="18" fillId="5" borderId="5" xfId="2" applyBorder="1" applyAlignment="1" applyProtection="1">
      <alignment horizontal="center"/>
    </xf>
    <xf numFmtId="0" fontId="18" fillId="5" borderId="1" xfId="2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15" fillId="0" borderId="0" xfId="0" applyFont="1" applyBorder="1" applyAlignment="1">
      <alignment horizontal="center"/>
    </xf>
  </cellXfs>
  <cellStyles count="5">
    <cellStyle name="Berechnung" xfId="4" builtinId="22"/>
    <cellStyle name="Erklärender Text" xfId="1" builtinId="53" customBuiltin="1"/>
    <cellStyle name="Gut" xfId="3" builtinId="26"/>
    <cellStyle name="Neutral" xfId="2" builtinId="2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600075</xdr:colOff>
      <xdr:row>48</xdr:row>
      <xdr:rowOff>152400</xdr:rowOff>
    </xdr:to>
    <xdr:sp macro="" textlink="">
      <xdr:nvSpPr>
        <xdr:cNvPr id="19480" name="shapetype_202" hidden="1">
          <a:extLst>
            <a:ext uri="{FF2B5EF4-FFF2-40B4-BE49-F238E27FC236}">
              <a16:creationId xmlns:a16="http://schemas.microsoft.com/office/drawing/2014/main" id="{00000000-0008-0000-0100-000018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600075</xdr:colOff>
      <xdr:row>48</xdr:row>
      <xdr:rowOff>152400</xdr:rowOff>
    </xdr:to>
    <xdr:sp macro="" textlink="">
      <xdr:nvSpPr>
        <xdr:cNvPr id="19478" name="shapetype_202" hidden="1">
          <a:extLst>
            <a:ext uri="{FF2B5EF4-FFF2-40B4-BE49-F238E27FC236}">
              <a16:creationId xmlns:a16="http://schemas.microsoft.com/office/drawing/2014/main" id="{00000000-0008-0000-0100-000016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600075</xdr:colOff>
      <xdr:row>48</xdr:row>
      <xdr:rowOff>152400</xdr:rowOff>
    </xdr:to>
    <xdr:sp macro="" textlink="">
      <xdr:nvSpPr>
        <xdr:cNvPr id="19476" name="shapetype_202" hidden="1">
          <a:extLst>
            <a:ext uri="{FF2B5EF4-FFF2-40B4-BE49-F238E27FC236}">
              <a16:creationId xmlns:a16="http://schemas.microsoft.com/office/drawing/2014/main" id="{00000000-0008-0000-0100-000014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600075</xdr:colOff>
      <xdr:row>48</xdr:row>
      <xdr:rowOff>152400</xdr:rowOff>
    </xdr:to>
    <xdr:sp macro="" textlink="">
      <xdr:nvSpPr>
        <xdr:cNvPr id="19474" name="shapetype_202" hidden="1">
          <a:extLst>
            <a:ext uri="{FF2B5EF4-FFF2-40B4-BE49-F238E27FC236}">
              <a16:creationId xmlns:a16="http://schemas.microsoft.com/office/drawing/2014/main" id="{00000000-0008-0000-0100-000012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600075</xdr:colOff>
      <xdr:row>48</xdr:row>
      <xdr:rowOff>152400</xdr:rowOff>
    </xdr:to>
    <xdr:sp macro="" textlink="">
      <xdr:nvSpPr>
        <xdr:cNvPr id="19472" name="shapetype_202" hidden="1">
          <a:extLst>
            <a:ext uri="{FF2B5EF4-FFF2-40B4-BE49-F238E27FC236}">
              <a16:creationId xmlns:a16="http://schemas.microsoft.com/office/drawing/2014/main" id="{00000000-0008-0000-0100-000010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600075</xdr:colOff>
      <xdr:row>48</xdr:row>
      <xdr:rowOff>152400</xdr:rowOff>
    </xdr:to>
    <xdr:sp macro="" textlink="">
      <xdr:nvSpPr>
        <xdr:cNvPr id="19470" name="shapetype_202" hidden="1">
          <a:extLst>
            <a:ext uri="{FF2B5EF4-FFF2-40B4-BE49-F238E27FC236}">
              <a16:creationId xmlns:a16="http://schemas.microsoft.com/office/drawing/2014/main" id="{00000000-0008-0000-0100-00000E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600075</xdr:colOff>
      <xdr:row>48</xdr:row>
      <xdr:rowOff>152400</xdr:rowOff>
    </xdr:to>
    <xdr:sp macro="" textlink="">
      <xdr:nvSpPr>
        <xdr:cNvPr id="19468" name="shapetype_202" hidden="1">
          <a:extLst>
            <a:ext uri="{FF2B5EF4-FFF2-40B4-BE49-F238E27FC236}">
              <a16:creationId xmlns:a16="http://schemas.microsoft.com/office/drawing/2014/main" id="{00000000-0008-0000-0100-00000C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600075</xdr:colOff>
      <xdr:row>48</xdr:row>
      <xdr:rowOff>152400</xdr:rowOff>
    </xdr:to>
    <xdr:sp macro="" textlink="">
      <xdr:nvSpPr>
        <xdr:cNvPr id="19466" name="shapetype_202" hidden="1">
          <a:extLst>
            <a:ext uri="{FF2B5EF4-FFF2-40B4-BE49-F238E27FC236}">
              <a16:creationId xmlns:a16="http://schemas.microsoft.com/office/drawing/2014/main" id="{00000000-0008-0000-0100-00000A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600075</xdr:colOff>
      <xdr:row>48</xdr:row>
      <xdr:rowOff>152400</xdr:rowOff>
    </xdr:to>
    <xdr:sp macro="" textlink="">
      <xdr:nvSpPr>
        <xdr:cNvPr id="19464" name="shapetype_202" hidden="1">
          <a:extLst>
            <a:ext uri="{FF2B5EF4-FFF2-40B4-BE49-F238E27FC236}">
              <a16:creationId xmlns:a16="http://schemas.microsoft.com/office/drawing/2014/main" id="{00000000-0008-0000-0100-000008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600075</xdr:colOff>
      <xdr:row>48</xdr:row>
      <xdr:rowOff>152400</xdr:rowOff>
    </xdr:to>
    <xdr:sp macro="" textlink="">
      <xdr:nvSpPr>
        <xdr:cNvPr id="19462" name="shapetype_202" hidden="1">
          <a:extLst>
            <a:ext uri="{FF2B5EF4-FFF2-40B4-BE49-F238E27FC236}">
              <a16:creationId xmlns:a16="http://schemas.microsoft.com/office/drawing/2014/main" id="{00000000-0008-0000-0100-000006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600075</xdr:colOff>
      <xdr:row>48</xdr:row>
      <xdr:rowOff>152400</xdr:rowOff>
    </xdr:to>
    <xdr:sp macro="" textlink="">
      <xdr:nvSpPr>
        <xdr:cNvPr id="19460" name="shapetype_202" hidden="1">
          <a:extLst>
            <a:ext uri="{FF2B5EF4-FFF2-40B4-BE49-F238E27FC236}">
              <a16:creationId xmlns:a16="http://schemas.microsoft.com/office/drawing/2014/main" id="{00000000-0008-0000-0100-000004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600075</xdr:colOff>
      <xdr:row>48</xdr:row>
      <xdr:rowOff>152400</xdr:rowOff>
    </xdr:to>
    <xdr:sp macro="" textlink="">
      <xdr:nvSpPr>
        <xdr:cNvPr id="19458" name="shapetype_202" hidden="1">
          <a:extLst>
            <a:ext uri="{FF2B5EF4-FFF2-40B4-BE49-F238E27FC236}">
              <a16:creationId xmlns:a16="http://schemas.microsoft.com/office/drawing/2014/main" id="{00000000-0008-0000-0100-000002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41"/>
  <sheetViews>
    <sheetView tabSelected="1" zoomScale="115" zoomScaleNormal="115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A2" sqref="A2:G2"/>
    </sheetView>
  </sheetViews>
  <sheetFormatPr baseColWidth="10" defaultColWidth="9.1796875" defaultRowHeight="14.5" x14ac:dyDescent="0.35"/>
  <cols>
    <col min="1" max="6" width="9.1796875" customWidth="1"/>
    <col min="7" max="7" width="8.453125" customWidth="1"/>
    <col min="8" max="8" width="19.54296875" customWidth="1"/>
    <col min="9" max="9" width="4.7265625"/>
    <col min="10" max="21" width="12.81640625" style="1" customWidth="1"/>
    <col min="22" max="22" width="12.81640625" customWidth="1"/>
    <col min="23" max="28" width="12.81640625" style="1" customWidth="1"/>
    <col min="29" max="29" width="11.1796875" style="1" customWidth="1"/>
    <col min="30" max="30" width="34.453125" customWidth="1"/>
    <col min="31" max="31" width="17.26953125" hidden="1" customWidth="1"/>
    <col min="32" max="32" width="22.81640625" hidden="1" customWidth="1"/>
    <col min="33" max="33" width="34.1796875"/>
    <col min="34" max="34" width="20.7265625" customWidth="1"/>
    <col min="35" max="35" width="1.453125" hidden="1" customWidth="1"/>
    <col min="36" max="37" width="0" hidden="1" customWidth="1"/>
    <col min="38" max="38" width="9.81640625" hidden="1" customWidth="1"/>
    <col min="39" max="1027" width="9.81640625"/>
  </cols>
  <sheetData>
    <row r="1" spans="1:38" x14ac:dyDescent="0.35">
      <c r="J1" s="62" t="s">
        <v>329</v>
      </c>
      <c r="K1" s="62"/>
      <c r="L1" s="62"/>
      <c r="M1" s="62"/>
      <c r="N1" s="62"/>
      <c r="O1" s="62"/>
      <c r="P1" s="62"/>
      <c r="Q1" s="62" t="s">
        <v>330</v>
      </c>
      <c r="R1" s="62"/>
      <c r="S1" s="62"/>
      <c r="T1" s="59" t="s">
        <v>331</v>
      </c>
      <c r="U1" s="60"/>
      <c r="V1" s="60"/>
      <c r="W1" s="60"/>
      <c r="X1" s="60"/>
      <c r="Y1" s="60"/>
      <c r="Z1" s="60"/>
      <c r="AA1" s="60"/>
      <c r="AB1" s="60"/>
      <c r="AC1" s="61"/>
    </row>
    <row r="2" spans="1:38" ht="29" x14ac:dyDescent="0.35">
      <c r="A2" s="63" t="s">
        <v>451</v>
      </c>
      <c r="B2" s="63"/>
      <c r="C2" s="63"/>
      <c r="D2" s="63"/>
      <c r="E2" s="63"/>
      <c r="F2" s="63"/>
      <c r="G2" s="63"/>
      <c r="H2" t="s">
        <v>0</v>
      </c>
      <c r="I2" s="2"/>
      <c r="J2" s="3" t="s">
        <v>1</v>
      </c>
      <c r="K2" s="4" t="s">
        <v>2</v>
      </c>
      <c r="L2" s="4" t="s">
        <v>3</v>
      </c>
      <c r="M2" s="4" t="s">
        <v>4</v>
      </c>
      <c r="N2" s="4" t="s">
        <v>5</v>
      </c>
      <c r="O2" s="4" t="s">
        <v>351</v>
      </c>
      <c r="P2" s="4" t="s">
        <v>6</v>
      </c>
      <c r="Q2" s="3" t="s">
        <v>7</v>
      </c>
      <c r="R2" s="4" t="s">
        <v>8</v>
      </c>
      <c r="S2" s="3" t="s">
        <v>9</v>
      </c>
      <c r="T2" s="3" t="s">
        <v>365</v>
      </c>
      <c r="U2" s="4" t="s">
        <v>10</v>
      </c>
      <c r="V2" s="3" t="s">
        <v>11</v>
      </c>
      <c r="W2" s="4" t="s">
        <v>12</v>
      </c>
      <c r="X2" s="3" t="s">
        <v>13</v>
      </c>
      <c r="Y2" s="4" t="s">
        <v>14</v>
      </c>
      <c r="Z2" s="3" t="s">
        <v>15</v>
      </c>
      <c r="AA2" s="4" t="s">
        <v>16</v>
      </c>
      <c r="AB2" s="3" t="s">
        <v>17</v>
      </c>
      <c r="AC2" s="3" t="s">
        <v>317</v>
      </c>
      <c r="AD2" s="5" t="s">
        <v>18</v>
      </c>
      <c r="AE2" s="5" t="s">
        <v>19</v>
      </c>
      <c r="AF2" s="5" t="s">
        <v>20</v>
      </c>
    </row>
    <row r="3" spans="1:38" ht="31.5" customHeight="1" x14ac:dyDescent="0.35">
      <c r="A3" s="63" t="s">
        <v>453</v>
      </c>
      <c r="B3" s="63"/>
      <c r="C3" s="63"/>
      <c r="D3" s="63"/>
      <c r="E3" s="63"/>
      <c r="F3" s="63"/>
      <c r="G3" s="63"/>
      <c r="H3" t="s">
        <v>21</v>
      </c>
      <c r="I3" s="2"/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352</v>
      </c>
      <c r="P3" s="3" t="s">
        <v>27</v>
      </c>
      <c r="Q3" s="3" t="s">
        <v>28</v>
      </c>
      <c r="R3" s="3" t="s">
        <v>29</v>
      </c>
      <c r="S3" s="3" t="s">
        <v>30</v>
      </c>
      <c r="T3" s="3" t="s">
        <v>366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326</v>
      </c>
      <c r="AD3" s="6"/>
      <c r="AE3" s="6"/>
      <c r="AF3" s="6"/>
      <c r="AG3" s="5" t="s">
        <v>39</v>
      </c>
      <c r="AH3" s="5" t="s">
        <v>40</v>
      </c>
      <c r="AK3" t="s">
        <v>334</v>
      </c>
    </row>
    <row r="4" spans="1:38" ht="27" customHeight="1" x14ac:dyDescent="0.6">
      <c r="A4" s="7" t="s">
        <v>41</v>
      </c>
      <c r="I4" s="8" t="s">
        <v>42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  <c r="W4" s="9"/>
      <c r="X4" s="10"/>
      <c r="Y4" s="9"/>
      <c r="Z4" s="9"/>
      <c r="AA4" s="9"/>
      <c r="AB4" s="9"/>
      <c r="AC4" s="9"/>
    </row>
    <row r="5" spans="1:38" x14ac:dyDescent="0.35">
      <c r="B5" t="s">
        <v>43</v>
      </c>
      <c r="H5" t="s">
        <v>44</v>
      </c>
      <c r="J5" s="35" t="s">
        <v>45</v>
      </c>
      <c r="K5" s="35" t="s">
        <v>45</v>
      </c>
      <c r="L5" s="35" t="s">
        <v>45</v>
      </c>
      <c r="M5" s="35" t="s">
        <v>45</v>
      </c>
      <c r="N5" s="35" t="s">
        <v>45</v>
      </c>
      <c r="O5" s="35" t="s">
        <v>45</v>
      </c>
      <c r="P5" s="35" t="s">
        <v>45</v>
      </c>
      <c r="Q5" s="35" t="s">
        <v>45</v>
      </c>
      <c r="R5" s="35" t="s">
        <v>45</v>
      </c>
      <c r="S5" s="35" t="s">
        <v>45</v>
      </c>
      <c r="T5" s="35" t="s">
        <v>45</v>
      </c>
      <c r="U5" s="35" t="s">
        <v>45</v>
      </c>
      <c r="V5" s="35" t="s">
        <v>45</v>
      </c>
      <c r="W5" s="35" t="s">
        <v>45</v>
      </c>
      <c r="X5" s="35" t="s">
        <v>45</v>
      </c>
      <c r="Y5" s="35" t="s">
        <v>45</v>
      </c>
      <c r="Z5" s="35" t="s">
        <v>45</v>
      </c>
      <c r="AA5" s="35" t="s">
        <v>45</v>
      </c>
      <c r="AB5" s="35" t="s">
        <v>45</v>
      </c>
      <c r="AC5" s="35" t="s">
        <v>45</v>
      </c>
      <c r="AD5" s="11" t="s">
        <v>43</v>
      </c>
      <c r="AE5" s="11" t="s">
        <v>46</v>
      </c>
      <c r="AF5" s="11" t="s">
        <v>43</v>
      </c>
      <c r="AG5" s="11" t="s">
        <v>47</v>
      </c>
      <c r="AH5" t="str">
        <f>IF(AE5="","",AE5)</f>
        <v>number (0 NK)</v>
      </c>
      <c r="AI5" s="12"/>
      <c r="AJ5" t="str">
        <f>IF(AH5&lt;&gt;AE5,"x","")</f>
        <v/>
      </c>
    </row>
    <row r="6" spans="1:38" x14ac:dyDescent="0.35">
      <c r="B6" t="s">
        <v>48</v>
      </c>
      <c r="J6" s="35" t="s">
        <v>45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7"/>
      <c r="W6" s="36"/>
      <c r="X6" s="36"/>
      <c r="Y6" s="36"/>
      <c r="Z6" s="36"/>
      <c r="AA6" s="36"/>
      <c r="AB6" s="36"/>
      <c r="AC6" s="36"/>
      <c r="AD6" s="11" t="s">
        <v>48</v>
      </c>
      <c r="AE6" s="11" t="s">
        <v>49</v>
      </c>
      <c r="AF6" s="11" t="s">
        <v>48</v>
      </c>
      <c r="AG6" s="11" t="s">
        <v>300</v>
      </c>
      <c r="AH6" t="s">
        <v>346</v>
      </c>
      <c r="AJ6" t="str">
        <f t="shared" ref="AJ6:AJ80" si="0">IF(AH6&lt;&gt;AE6,"x","")</f>
        <v>x</v>
      </c>
    </row>
    <row r="7" spans="1:38" ht="23.5" x14ac:dyDescent="0.55000000000000004">
      <c r="B7" s="13" t="s">
        <v>50</v>
      </c>
      <c r="I7" s="14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9"/>
      <c r="W7" s="38"/>
      <c r="X7" s="38"/>
      <c r="Y7" s="38"/>
      <c r="Z7" s="38"/>
      <c r="AA7" s="38"/>
      <c r="AB7" s="38"/>
      <c r="AC7" s="38"/>
      <c r="AJ7" t="str">
        <f t="shared" si="0"/>
        <v/>
      </c>
    </row>
    <row r="8" spans="1:38" x14ac:dyDescent="0.35">
      <c r="C8" t="s">
        <v>51</v>
      </c>
      <c r="J8" s="35" t="s">
        <v>45</v>
      </c>
      <c r="K8" s="35" t="s">
        <v>45</v>
      </c>
      <c r="L8" s="35" t="s">
        <v>45</v>
      </c>
      <c r="M8" s="35" t="s">
        <v>45</v>
      </c>
      <c r="N8" s="35" t="s">
        <v>45</v>
      </c>
      <c r="O8" s="35" t="s">
        <v>45</v>
      </c>
      <c r="P8" s="35" t="s">
        <v>45</v>
      </c>
      <c r="Q8" s="35" t="s">
        <v>45</v>
      </c>
      <c r="R8" s="35" t="s">
        <v>45</v>
      </c>
      <c r="S8" s="35" t="s">
        <v>45</v>
      </c>
      <c r="T8" s="35" t="s">
        <v>45</v>
      </c>
      <c r="U8" s="35" t="s">
        <v>45</v>
      </c>
      <c r="V8" s="35" t="s">
        <v>45</v>
      </c>
      <c r="W8" s="35" t="s">
        <v>45</v>
      </c>
      <c r="X8" s="35" t="s">
        <v>45</v>
      </c>
      <c r="Y8" s="35" t="s">
        <v>45</v>
      </c>
      <c r="Z8" s="35" t="s">
        <v>45</v>
      </c>
      <c r="AA8" s="35" t="s">
        <v>45</v>
      </c>
      <c r="AB8" s="35" t="s">
        <v>45</v>
      </c>
      <c r="AC8" s="35" t="s">
        <v>45</v>
      </c>
      <c r="AD8" s="11" t="s">
        <v>51</v>
      </c>
      <c r="AE8" s="11" t="s">
        <v>52</v>
      </c>
      <c r="AF8" s="11" t="s">
        <v>51</v>
      </c>
      <c r="AG8" s="11" t="s">
        <v>53</v>
      </c>
      <c r="AH8" t="s">
        <v>443</v>
      </c>
      <c r="AJ8" t="str">
        <f t="shared" si="0"/>
        <v>x</v>
      </c>
    </row>
    <row r="9" spans="1:38" x14ac:dyDescent="0.35">
      <c r="C9" t="s">
        <v>379</v>
      </c>
      <c r="J9" s="36" t="s">
        <v>45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11" t="s">
        <v>379</v>
      </c>
      <c r="AE9" s="11" t="s">
        <v>52</v>
      </c>
      <c r="AF9" s="11"/>
      <c r="AG9" s="11" t="s">
        <v>380</v>
      </c>
      <c r="AH9" t="str">
        <f>IF(AE9="","",AE9)</f>
        <v>string (25)</v>
      </c>
    </row>
    <row r="10" spans="1:38" x14ac:dyDescent="0.35">
      <c r="C10" t="s">
        <v>314</v>
      </c>
      <c r="J10" s="35" t="s">
        <v>45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7"/>
      <c r="W10" s="36"/>
      <c r="X10" s="36"/>
      <c r="Y10" s="36"/>
      <c r="Z10" s="36"/>
      <c r="AA10" s="36"/>
      <c r="AB10" s="36"/>
      <c r="AC10" s="36"/>
      <c r="AD10" s="11" t="s">
        <v>314</v>
      </c>
      <c r="AE10" s="11" t="s">
        <v>342</v>
      </c>
      <c r="AF10" s="11" t="s">
        <v>54</v>
      </c>
      <c r="AG10" s="11" t="s">
        <v>401</v>
      </c>
      <c r="AH10" t="str">
        <f>IF(AE10="","",AE10)</f>
        <v>string (40)</v>
      </c>
      <c r="AI10" s="12"/>
      <c r="AJ10" t="str">
        <f t="shared" si="0"/>
        <v/>
      </c>
      <c r="AL10" t="s">
        <v>401</v>
      </c>
    </row>
    <row r="11" spans="1:38" x14ac:dyDescent="0.35">
      <c r="C11" t="s">
        <v>315</v>
      </c>
      <c r="J11" s="35" t="s">
        <v>45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7"/>
      <c r="W11" s="36"/>
      <c r="X11" s="36"/>
      <c r="Y11" s="36"/>
      <c r="Z11" s="36"/>
      <c r="AA11" s="36"/>
      <c r="AB11" s="36"/>
      <c r="AC11" s="36"/>
      <c r="AD11" s="11" t="s">
        <v>315</v>
      </c>
      <c r="AE11" s="11" t="s">
        <v>342</v>
      </c>
      <c r="AF11" s="11" t="s">
        <v>55</v>
      </c>
      <c r="AG11" s="11" t="s">
        <v>402</v>
      </c>
      <c r="AH11" t="str">
        <f>IF(AE11="","",AE11)</f>
        <v>string (40)</v>
      </c>
      <c r="AI11" s="12"/>
      <c r="AJ11" t="str">
        <f t="shared" si="0"/>
        <v/>
      </c>
      <c r="AL11" t="s">
        <v>402</v>
      </c>
    </row>
    <row r="12" spans="1:38" ht="21" x14ac:dyDescent="0.5">
      <c r="C12" s="15" t="s">
        <v>56</v>
      </c>
      <c r="I12" s="14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9"/>
      <c r="W12" s="38"/>
      <c r="X12" s="38"/>
      <c r="Y12" s="38"/>
      <c r="Z12" s="38"/>
      <c r="AA12" s="38"/>
      <c r="AB12" s="38"/>
      <c r="AC12" s="38"/>
      <c r="AJ12" t="str">
        <f t="shared" si="0"/>
        <v/>
      </c>
    </row>
    <row r="13" spans="1:38" x14ac:dyDescent="0.35">
      <c r="D13" t="s">
        <v>57</v>
      </c>
      <c r="J13" s="35" t="s">
        <v>45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7"/>
      <c r="W13" s="36"/>
      <c r="X13" s="36"/>
      <c r="Y13" s="36"/>
      <c r="Z13" s="36"/>
      <c r="AA13" s="36"/>
      <c r="AB13" s="36"/>
      <c r="AC13" s="36"/>
      <c r="AD13" s="11" t="s">
        <v>57</v>
      </c>
      <c r="AE13" s="11" t="s">
        <v>345</v>
      </c>
      <c r="AF13" s="11" t="s">
        <v>58</v>
      </c>
      <c r="AG13" s="11" t="s">
        <v>59</v>
      </c>
      <c r="AH13" t="str">
        <f>IF(AE13="","",AE13)</f>
        <v>string (60)</v>
      </c>
      <c r="AJ13" t="str">
        <f t="shared" si="0"/>
        <v/>
      </c>
    </row>
    <row r="14" spans="1:38" ht="21" x14ac:dyDescent="0.5">
      <c r="D14" s="15" t="s">
        <v>60</v>
      </c>
      <c r="I14" s="14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9"/>
      <c r="W14" s="38"/>
      <c r="X14" s="38"/>
      <c r="Y14" s="38"/>
      <c r="Z14" s="38"/>
      <c r="AA14" s="38"/>
      <c r="AB14" s="38"/>
      <c r="AC14" s="38"/>
      <c r="AJ14" t="str">
        <f t="shared" si="0"/>
        <v/>
      </c>
    </row>
    <row r="15" spans="1:38" x14ac:dyDescent="0.35">
      <c r="E15" t="s">
        <v>61</v>
      </c>
      <c r="J15" s="35" t="s">
        <v>45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7"/>
      <c r="W15" s="36"/>
      <c r="X15" s="36"/>
      <c r="Y15" s="36"/>
      <c r="Z15" s="36"/>
      <c r="AA15" s="36"/>
      <c r="AB15" s="36"/>
      <c r="AC15" s="36"/>
      <c r="AD15" s="11" t="s">
        <v>61</v>
      </c>
      <c r="AE15" s="11" t="s">
        <v>345</v>
      </c>
      <c r="AF15" s="11" t="s">
        <v>62</v>
      </c>
      <c r="AG15" s="11" t="s">
        <v>63</v>
      </c>
      <c r="AH15" t="str">
        <f t="shared" ref="AH15:AH20" si="1">IF(AE15="","",AE15)</f>
        <v>string (60)</v>
      </c>
      <c r="AJ15" t="str">
        <f t="shared" si="0"/>
        <v/>
      </c>
      <c r="AK15" s="32" t="s">
        <v>335</v>
      </c>
    </row>
    <row r="16" spans="1:38" x14ac:dyDescent="0.35">
      <c r="E16" t="s">
        <v>64</v>
      </c>
      <c r="J16" s="35" t="s">
        <v>45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7"/>
      <c r="W16" s="36"/>
      <c r="X16" s="36"/>
      <c r="Y16" s="36"/>
      <c r="Z16" s="36"/>
      <c r="AA16" s="36"/>
      <c r="AB16" s="36"/>
      <c r="AC16" s="36"/>
      <c r="AD16" s="11" t="s">
        <v>64</v>
      </c>
      <c r="AE16" s="11" t="s">
        <v>346</v>
      </c>
      <c r="AF16" s="11" t="s">
        <v>65</v>
      </c>
      <c r="AG16" s="11" t="s">
        <v>66</v>
      </c>
      <c r="AH16" t="str">
        <f t="shared" si="1"/>
        <v>string (10)</v>
      </c>
      <c r="AJ16" t="str">
        <f t="shared" si="0"/>
        <v/>
      </c>
    </row>
    <row r="17" spans="1:38" x14ac:dyDescent="0.35">
      <c r="E17" t="s">
        <v>67</v>
      </c>
      <c r="J17" s="35" t="s">
        <v>45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6"/>
      <c r="X17" s="36"/>
      <c r="Y17" s="36"/>
      <c r="Z17" s="36"/>
      <c r="AA17" s="36"/>
      <c r="AB17" s="36"/>
      <c r="AC17" s="36"/>
      <c r="AD17" s="11" t="s">
        <v>67</v>
      </c>
      <c r="AE17" s="11" t="s">
        <v>347</v>
      </c>
      <c r="AF17" s="11" t="s">
        <v>68</v>
      </c>
      <c r="AG17" s="11" t="s">
        <v>69</v>
      </c>
      <c r="AH17" t="str">
        <f t="shared" si="1"/>
        <v>string (62)</v>
      </c>
      <c r="AJ17" t="str">
        <f t="shared" si="0"/>
        <v/>
      </c>
    </row>
    <row r="18" spans="1:38" x14ac:dyDescent="0.35">
      <c r="E18" t="s">
        <v>70</v>
      </c>
      <c r="J18" s="35" t="s">
        <v>45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7"/>
      <c r="W18" s="36"/>
      <c r="X18" s="36"/>
      <c r="Y18" s="36"/>
      <c r="Z18" s="36"/>
      <c r="AA18" s="36"/>
      <c r="AB18" s="36"/>
      <c r="AC18" s="36"/>
      <c r="AD18" s="11" t="s">
        <v>70</v>
      </c>
      <c r="AE18" s="11" t="s">
        <v>71</v>
      </c>
      <c r="AF18" s="11" t="s">
        <v>72</v>
      </c>
      <c r="AG18" s="11" t="s">
        <v>73</v>
      </c>
      <c r="AH18" t="str">
        <f t="shared" si="1"/>
        <v>string (3)</v>
      </c>
      <c r="AJ18" t="str">
        <f t="shared" si="0"/>
        <v/>
      </c>
    </row>
    <row r="19" spans="1:38" x14ac:dyDescent="0.35">
      <c r="D19" t="s">
        <v>74</v>
      </c>
      <c r="J19" s="51" t="s">
        <v>45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7"/>
      <c r="W19" s="36"/>
      <c r="X19" s="36"/>
      <c r="Y19" s="36"/>
      <c r="Z19" s="36"/>
      <c r="AA19" s="36"/>
      <c r="AB19" s="36"/>
      <c r="AC19" s="36"/>
      <c r="AD19" s="11" t="s">
        <v>74</v>
      </c>
      <c r="AE19" s="11" t="s">
        <v>348</v>
      </c>
      <c r="AF19" s="11" t="s">
        <v>75</v>
      </c>
      <c r="AG19" s="11" t="s">
        <v>76</v>
      </c>
      <c r="AH19" t="str">
        <f t="shared" si="1"/>
        <v>string (20)</v>
      </c>
      <c r="AJ19" t="str">
        <f t="shared" si="0"/>
        <v/>
      </c>
    </row>
    <row r="20" spans="1:38" x14ac:dyDescent="0.35">
      <c r="D20" t="s">
        <v>77</v>
      </c>
      <c r="J20" s="51" t="s">
        <v>45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7"/>
      <c r="W20" s="36"/>
      <c r="X20" s="36"/>
      <c r="Y20" s="36"/>
      <c r="Z20" s="36"/>
      <c r="AA20" s="36"/>
      <c r="AB20" s="36"/>
      <c r="AC20" s="36"/>
      <c r="AD20" s="11" t="s">
        <v>77</v>
      </c>
      <c r="AE20" s="11" t="s">
        <v>349</v>
      </c>
      <c r="AF20" s="11" t="s">
        <v>78</v>
      </c>
      <c r="AG20" s="11" t="s">
        <v>79</v>
      </c>
      <c r="AH20" t="str">
        <f t="shared" si="1"/>
        <v>string (15)</v>
      </c>
      <c r="AJ20" t="str">
        <f t="shared" si="0"/>
        <v/>
      </c>
    </row>
    <row r="21" spans="1:38" ht="21" x14ac:dyDescent="0.5">
      <c r="D21" s="15" t="s">
        <v>2</v>
      </c>
      <c r="I21" s="8" t="s">
        <v>80</v>
      </c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40"/>
      <c r="W21" s="38"/>
      <c r="X21" s="38"/>
      <c r="Y21" s="38"/>
      <c r="Z21" s="38"/>
      <c r="AA21" s="38"/>
      <c r="AB21" s="38"/>
      <c r="AC21" s="38"/>
      <c r="AJ21" t="str">
        <f t="shared" si="0"/>
        <v/>
      </c>
    </row>
    <row r="22" spans="1:38" x14ac:dyDescent="0.35">
      <c r="E22" t="s">
        <v>57</v>
      </c>
      <c r="J22" s="36"/>
      <c r="K22" s="35" t="s">
        <v>45</v>
      </c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7"/>
      <c r="W22" s="36"/>
      <c r="X22" s="36"/>
      <c r="Y22" s="36"/>
      <c r="Z22" s="36"/>
      <c r="AA22" s="36"/>
      <c r="AB22" s="36"/>
      <c r="AC22" s="36"/>
      <c r="AD22" s="11" t="s">
        <v>57</v>
      </c>
      <c r="AE22" s="11" t="s">
        <v>345</v>
      </c>
      <c r="AF22" s="11" t="s">
        <v>57</v>
      </c>
      <c r="AG22" s="11" t="s">
        <v>81</v>
      </c>
      <c r="AH22" t="str">
        <f>IF(AE22="","",AE22)</f>
        <v>string (60)</v>
      </c>
      <c r="AJ22" t="str">
        <f t="shared" si="0"/>
        <v/>
      </c>
    </row>
    <row r="23" spans="1:38" ht="21" x14ac:dyDescent="0.5">
      <c r="E23" s="15" t="s">
        <v>60</v>
      </c>
      <c r="I23" s="14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9"/>
      <c r="W23" s="38"/>
      <c r="X23" s="38"/>
      <c r="Y23" s="38"/>
      <c r="Z23" s="38"/>
      <c r="AA23" s="38"/>
      <c r="AB23" s="38"/>
      <c r="AC23" s="38"/>
      <c r="AJ23" t="str">
        <f t="shared" si="0"/>
        <v/>
      </c>
    </row>
    <row r="24" spans="1:38" x14ac:dyDescent="0.35">
      <c r="F24" t="s">
        <v>61</v>
      </c>
      <c r="J24" s="36"/>
      <c r="K24" s="35" t="s">
        <v>45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7"/>
      <c r="W24" s="36"/>
      <c r="X24" s="36"/>
      <c r="Y24" s="36"/>
      <c r="Z24" s="36"/>
      <c r="AA24" s="36"/>
      <c r="AB24" s="36"/>
      <c r="AC24" s="36"/>
      <c r="AD24" s="11" t="s">
        <v>61</v>
      </c>
      <c r="AE24" s="11" t="s">
        <v>345</v>
      </c>
      <c r="AF24" s="11" t="s">
        <v>61</v>
      </c>
      <c r="AG24" s="11" t="s">
        <v>82</v>
      </c>
      <c r="AH24" t="str">
        <f>IF(AE24="","",AE24)</f>
        <v>string (60)</v>
      </c>
      <c r="AJ24" t="str">
        <f t="shared" si="0"/>
        <v/>
      </c>
      <c r="AK24" s="32" t="s">
        <v>335</v>
      </c>
    </row>
    <row r="25" spans="1:38" x14ac:dyDescent="0.35">
      <c r="F25" t="s">
        <v>64</v>
      </c>
      <c r="J25" s="36"/>
      <c r="K25" s="35" t="s">
        <v>45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7"/>
      <c r="W25" s="36"/>
      <c r="X25" s="36"/>
      <c r="Y25" s="36"/>
      <c r="Z25" s="36"/>
      <c r="AA25" s="36"/>
      <c r="AB25" s="36"/>
      <c r="AC25" s="36"/>
      <c r="AD25" s="11" t="s">
        <v>64</v>
      </c>
      <c r="AE25" s="11" t="s">
        <v>346</v>
      </c>
      <c r="AF25" s="11" t="s">
        <v>64</v>
      </c>
      <c r="AG25" s="11" t="s">
        <v>83</v>
      </c>
      <c r="AH25" t="str">
        <f>IF(AE25="","",AE25)</f>
        <v>string (10)</v>
      </c>
      <c r="AJ25" t="str">
        <f t="shared" si="0"/>
        <v/>
      </c>
    </row>
    <row r="26" spans="1:38" x14ac:dyDescent="0.35">
      <c r="F26" t="s">
        <v>67</v>
      </c>
      <c r="J26" s="36"/>
      <c r="K26" s="35" t="s">
        <v>45</v>
      </c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7"/>
      <c r="W26" s="36"/>
      <c r="X26" s="36"/>
      <c r="Y26" s="36"/>
      <c r="Z26" s="36"/>
      <c r="AA26" s="36"/>
      <c r="AB26" s="36"/>
      <c r="AC26" s="36"/>
      <c r="AD26" s="11" t="s">
        <v>67</v>
      </c>
      <c r="AE26" s="11" t="s">
        <v>347</v>
      </c>
      <c r="AF26" s="11" t="s">
        <v>67</v>
      </c>
      <c r="AG26" s="11" t="s">
        <v>84</v>
      </c>
      <c r="AH26" t="str">
        <f>IF(AE26="","",AE26)</f>
        <v>string (62)</v>
      </c>
      <c r="AJ26" t="str">
        <f t="shared" si="0"/>
        <v/>
      </c>
    </row>
    <row r="27" spans="1:38" x14ac:dyDescent="0.35">
      <c r="F27" t="s">
        <v>70</v>
      </c>
      <c r="J27" s="36"/>
      <c r="K27" s="35" t="s">
        <v>45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7"/>
      <c r="W27" s="36"/>
      <c r="X27" s="36"/>
      <c r="Y27" s="36"/>
      <c r="Z27" s="36"/>
      <c r="AA27" s="36"/>
      <c r="AB27" s="36"/>
      <c r="AC27" s="36"/>
      <c r="AD27" s="11" t="s">
        <v>70</v>
      </c>
      <c r="AE27" s="11" t="s">
        <v>71</v>
      </c>
      <c r="AF27" s="11" t="s">
        <v>70</v>
      </c>
      <c r="AG27" s="11" t="s">
        <v>85</v>
      </c>
      <c r="AH27" t="str">
        <f>IF(AE27="","",AE27)</f>
        <v>string (3)</v>
      </c>
      <c r="AJ27" t="str">
        <f t="shared" si="0"/>
        <v/>
      </c>
    </row>
    <row r="28" spans="1:38" s="16" customFormat="1" hidden="1" x14ac:dyDescent="0.35">
      <c r="A28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2"/>
      <c r="W28" s="41"/>
      <c r="X28" s="41"/>
      <c r="Y28" s="41"/>
      <c r="Z28" s="41"/>
      <c r="AA28" s="41"/>
      <c r="AB28" s="41"/>
      <c r="AC28" s="41"/>
      <c r="AD28" s="17"/>
      <c r="AE28" s="17"/>
      <c r="AF28" s="17"/>
      <c r="AG28" s="17"/>
      <c r="AH28"/>
      <c r="AJ28" t="str">
        <f t="shared" si="0"/>
        <v/>
      </c>
    </row>
    <row r="29" spans="1:38" x14ac:dyDescent="0.35">
      <c r="E29" t="s">
        <v>77</v>
      </c>
      <c r="J29" s="36"/>
      <c r="K29" s="36" t="s">
        <v>45</v>
      </c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7"/>
      <c r="W29" s="36"/>
      <c r="X29" s="36"/>
      <c r="Y29" s="36"/>
      <c r="Z29" s="36"/>
      <c r="AA29" s="36"/>
      <c r="AB29" s="36"/>
      <c r="AC29" s="36"/>
      <c r="AD29" s="11" t="s">
        <v>77</v>
      </c>
      <c r="AE29" s="11" t="s">
        <v>349</v>
      </c>
      <c r="AF29" s="11" t="s">
        <v>77</v>
      </c>
      <c r="AG29" s="11" t="s">
        <v>86</v>
      </c>
      <c r="AH29" t="str">
        <f>IF(AE29="","",AE29)</f>
        <v>string (15)</v>
      </c>
      <c r="AJ29" t="str">
        <f t="shared" si="0"/>
        <v/>
      </c>
    </row>
    <row r="30" spans="1:38" ht="21" x14ac:dyDescent="0.5">
      <c r="E30" s="15" t="s">
        <v>87</v>
      </c>
      <c r="I30" s="8" t="s">
        <v>88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40"/>
      <c r="W30" s="38"/>
      <c r="X30" s="38"/>
      <c r="Y30" s="38"/>
      <c r="Z30" s="38"/>
      <c r="AA30" s="38"/>
      <c r="AB30" s="38"/>
      <c r="AC30" s="38"/>
      <c r="AJ30" t="str">
        <f t="shared" si="0"/>
        <v/>
      </c>
    </row>
    <row r="31" spans="1:38" x14ac:dyDescent="0.35">
      <c r="A31" t="s">
        <v>310</v>
      </c>
      <c r="F31" t="s">
        <v>89</v>
      </c>
      <c r="H31" t="s">
        <v>44</v>
      </c>
      <c r="J31" s="35" t="s">
        <v>45</v>
      </c>
      <c r="K31" s="35" t="s">
        <v>45</v>
      </c>
      <c r="L31" s="35" t="s">
        <v>45</v>
      </c>
      <c r="M31" s="35" t="s">
        <v>45</v>
      </c>
      <c r="N31" s="35" t="s">
        <v>45</v>
      </c>
      <c r="O31" s="35" t="s">
        <v>45</v>
      </c>
      <c r="P31" s="35" t="s">
        <v>45</v>
      </c>
      <c r="Q31" s="35" t="s">
        <v>45</v>
      </c>
      <c r="R31" s="35" t="s">
        <v>45</v>
      </c>
      <c r="S31" s="35" t="s">
        <v>45</v>
      </c>
      <c r="T31" s="35" t="s">
        <v>45</v>
      </c>
      <c r="U31" s="35" t="s">
        <v>45</v>
      </c>
      <c r="V31" s="35" t="s">
        <v>45</v>
      </c>
      <c r="W31" s="35" t="s">
        <v>45</v>
      </c>
      <c r="X31" s="35" t="s">
        <v>45</v>
      </c>
      <c r="Y31" s="35" t="s">
        <v>45</v>
      </c>
      <c r="Z31" s="35" t="s">
        <v>45</v>
      </c>
      <c r="AA31" s="35" t="s">
        <v>45</v>
      </c>
      <c r="AB31" s="35" t="s">
        <v>45</v>
      </c>
      <c r="AC31" s="35" t="s">
        <v>45</v>
      </c>
      <c r="AD31" s="11" t="s">
        <v>89</v>
      </c>
      <c r="AE31" s="11" t="s">
        <v>344</v>
      </c>
      <c r="AF31" s="11" t="s">
        <v>312</v>
      </c>
      <c r="AG31" s="11" t="s">
        <v>403</v>
      </c>
      <c r="AH31" t="s">
        <v>343</v>
      </c>
      <c r="AJ31" t="str">
        <f t="shared" si="0"/>
        <v>x</v>
      </c>
      <c r="AL31" t="s">
        <v>403</v>
      </c>
    </row>
    <row r="32" spans="1:38" x14ac:dyDescent="0.35">
      <c r="A32" t="s">
        <v>151</v>
      </c>
      <c r="F32" t="s">
        <v>90</v>
      </c>
      <c r="J32" s="36"/>
      <c r="K32" s="36"/>
      <c r="L32" s="36" t="s">
        <v>45</v>
      </c>
      <c r="M32" s="36"/>
      <c r="N32" s="36"/>
      <c r="O32" s="36"/>
      <c r="P32" s="36"/>
      <c r="Q32" s="36"/>
      <c r="R32" s="36"/>
      <c r="S32" s="36"/>
      <c r="T32" s="36"/>
      <c r="U32" s="36"/>
      <c r="V32" s="37"/>
      <c r="W32" s="36"/>
      <c r="X32" s="36"/>
      <c r="Y32" s="36"/>
      <c r="Z32" s="36"/>
      <c r="AA32" s="36"/>
      <c r="AB32" s="36"/>
      <c r="AC32" s="36"/>
      <c r="AD32" s="11" t="s">
        <v>90</v>
      </c>
      <c r="AE32" s="11" t="s">
        <v>344</v>
      </c>
      <c r="AF32" s="11" t="s">
        <v>90</v>
      </c>
      <c r="AG32" s="11" t="s">
        <v>91</v>
      </c>
      <c r="AH32" t="s">
        <v>343</v>
      </c>
      <c r="AJ32" t="str">
        <f t="shared" si="0"/>
        <v>x</v>
      </c>
    </row>
    <row r="33" spans="6:38" x14ac:dyDescent="0.35">
      <c r="F33" t="s">
        <v>92</v>
      </c>
      <c r="J33" s="36"/>
      <c r="K33" s="36"/>
      <c r="L33" s="36" t="s">
        <v>45</v>
      </c>
      <c r="M33" s="36"/>
      <c r="N33" s="36"/>
      <c r="O33" s="36"/>
      <c r="P33" s="36"/>
      <c r="Q33" s="36"/>
      <c r="R33" s="36"/>
      <c r="S33" s="36"/>
      <c r="T33" s="36"/>
      <c r="U33" s="36"/>
      <c r="V33" s="37"/>
      <c r="W33" s="36"/>
      <c r="X33" s="36"/>
      <c r="Y33" s="36"/>
      <c r="Z33" s="36"/>
      <c r="AA33" s="36"/>
      <c r="AB33" s="36"/>
      <c r="AC33" s="36"/>
      <c r="AD33" s="11" t="s">
        <v>92</v>
      </c>
      <c r="AE33" s="11" t="s">
        <v>344</v>
      </c>
      <c r="AF33" s="11" t="s">
        <v>92</v>
      </c>
      <c r="AG33" s="11" t="s">
        <v>93</v>
      </c>
      <c r="AH33" t="s">
        <v>343</v>
      </c>
      <c r="AJ33" t="str">
        <f t="shared" si="0"/>
        <v>x</v>
      </c>
    </row>
    <row r="34" spans="6:38" x14ac:dyDescent="0.35">
      <c r="F34" t="s">
        <v>94</v>
      </c>
      <c r="J34" s="36"/>
      <c r="K34" s="36"/>
      <c r="L34" s="35" t="s">
        <v>45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11" t="s">
        <v>94</v>
      </c>
      <c r="AE34" s="11" t="s">
        <v>343</v>
      </c>
      <c r="AF34" s="11" t="s">
        <v>94</v>
      </c>
      <c r="AG34" s="11" t="s">
        <v>95</v>
      </c>
      <c r="AH34" t="s">
        <v>444</v>
      </c>
      <c r="AJ34" t="str">
        <f t="shared" si="0"/>
        <v>x</v>
      </c>
    </row>
    <row r="35" spans="6:38" x14ac:dyDescent="0.35">
      <c r="F35" t="s">
        <v>125</v>
      </c>
      <c r="J35" s="36"/>
      <c r="K35" s="36"/>
      <c r="L35" s="35" t="s">
        <v>45</v>
      </c>
      <c r="M35" s="36"/>
      <c r="N35" s="36"/>
      <c r="O35" s="36"/>
      <c r="P35" s="36"/>
      <c r="Q35" s="36"/>
      <c r="R35" s="36"/>
      <c r="S35" s="36"/>
      <c r="T35" s="36"/>
      <c r="U35" s="36"/>
      <c r="V35" s="37"/>
      <c r="W35" s="36"/>
      <c r="X35" s="36"/>
      <c r="Y35" s="36"/>
      <c r="Z35" s="36"/>
      <c r="AA35" s="36"/>
      <c r="AB35" s="36"/>
      <c r="AC35" s="36"/>
      <c r="AD35" s="11" t="s">
        <v>125</v>
      </c>
      <c r="AE35" s="11" t="s">
        <v>71</v>
      </c>
      <c r="AF35" s="11" t="s">
        <v>125</v>
      </c>
      <c r="AG35" s="11" t="s">
        <v>325</v>
      </c>
      <c r="AH35" t="str">
        <f>IF(AE35="","",AE35)</f>
        <v>string (3)</v>
      </c>
      <c r="AJ35" t="str">
        <f t="shared" si="0"/>
        <v/>
      </c>
    </row>
    <row r="36" spans="6:38" x14ac:dyDescent="0.35">
      <c r="F36" t="s">
        <v>316</v>
      </c>
      <c r="J36" s="36"/>
      <c r="K36" s="36"/>
      <c r="L36" s="36" t="s">
        <v>45</v>
      </c>
      <c r="M36" s="36"/>
      <c r="N36" s="36"/>
      <c r="O36" s="36"/>
      <c r="P36" s="36"/>
      <c r="Q36" s="36"/>
      <c r="R36" s="36"/>
      <c r="S36" s="36"/>
      <c r="T36" s="36"/>
      <c r="U36" s="36"/>
      <c r="V36" s="37"/>
      <c r="W36" s="36"/>
      <c r="X36" s="36"/>
      <c r="Y36" s="36"/>
      <c r="Z36" s="36"/>
      <c r="AA36" s="36"/>
      <c r="AB36" s="36"/>
      <c r="AC36" s="36"/>
      <c r="AD36" s="11" t="s">
        <v>316</v>
      </c>
      <c r="AE36" s="11" t="s">
        <v>154</v>
      </c>
      <c r="AF36" t="s">
        <v>303</v>
      </c>
      <c r="AG36" s="11" t="s">
        <v>301</v>
      </c>
      <c r="AH36" t="s">
        <v>156</v>
      </c>
      <c r="AJ36" t="str">
        <f t="shared" si="0"/>
        <v>x</v>
      </c>
    </row>
    <row r="37" spans="6:38" ht="21" x14ac:dyDescent="0.5">
      <c r="F37" s="15" t="s">
        <v>96</v>
      </c>
      <c r="I37" s="14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9"/>
      <c r="W37" s="38"/>
      <c r="X37" s="38"/>
      <c r="Y37" s="38"/>
      <c r="Z37" s="38"/>
      <c r="AA37" s="38"/>
      <c r="AB37" s="38"/>
      <c r="AC37" s="38"/>
      <c r="AJ37" t="str">
        <f t="shared" si="0"/>
        <v/>
      </c>
    </row>
    <row r="38" spans="6:38" x14ac:dyDescent="0.35">
      <c r="G38" t="s">
        <v>90</v>
      </c>
      <c r="J38" s="36"/>
      <c r="K38" s="36"/>
      <c r="L38" s="36" t="s">
        <v>45</v>
      </c>
      <c r="M38" s="36"/>
      <c r="N38" s="36"/>
      <c r="O38" s="36"/>
      <c r="P38" s="36"/>
      <c r="Q38" s="36"/>
      <c r="R38" s="36"/>
      <c r="S38" s="36"/>
      <c r="T38" s="36"/>
      <c r="U38" s="36"/>
      <c r="V38" s="37"/>
      <c r="W38" s="36"/>
      <c r="X38" s="36"/>
      <c r="Y38" s="36"/>
      <c r="Z38" s="36"/>
      <c r="AA38" s="36"/>
      <c r="AB38" s="36"/>
      <c r="AC38" s="36"/>
      <c r="AD38" s="11" t="s">
        <v>90</v>
      </c>
      <c r="AE38" s="11" t="s">
        <v>344</v>
      </c>
      <c r="AF38" s="11" t="s">
        <v>90</v>
      </c>
      <c r="AG38" s="11" t="s">
        <v>397</v>
      </c>
      <c r="AH38" t="s">
        <v>343</v>
      </c>
      <c r="AJ38" t="str">
        <f t="shared" si="0"/>
        <v>x</v>
      </c>
      <c r="AL38" t="s">
        <v>397</v>
      </c>
    </row>
    <row r="39" spans="6:38" x14ac:dyDescent="0.35">
      <c r="G39" t="s">
        <v>97</v>
      </c>
      <c r="J39" s="36"/>
      <c r="K39" s="36"/>
      <c r="L39" s="36" t="s">
        <v>45</v>
      </c>
      <c r="M39" s="36"/>
      <c r="N39" s="36"/>
      <c r="O39" s="36"/>
      <c r="P39" s="36"/>
      <c r="Q39" s="36"/>
      <c r="R39" s="36"/>
      <c r="S39" s="36"/>
      <c r="T39" s="36"/>
      <c r="U39" s="36"/>
      <c r="V39" s="37"/>
      <c r="W39" s="36"/>
      <c r="X39" s="36"/>
      <c r="Y39" s="36"/>
      <c r="Z39" s="36"/>
      <c r="AA39" s="36"/>
      <c r="AB39" s="36"/>
      <c r="AC39" s="36"/>
      <c r="AD39" s="11" t="s">
        <v>97</v>
      </c>
      <c r="AE39" s="11" t="s">
        <v>344</v>
      </c>
      <c r="AF39" s="11" t="s">
        <v>97</v>
      </c>
      <c r="AG39" s="11" t="s">
        <v>398</v>
      </c>
      <c r="AH39" t="s">
        <v>343</v>
      </c>
      <c r="AJ39" t="str">
        <f t="shared" si="0"/>
        <v>x</v>
      </c>
      <c r="AL39" t="s">
        <v>398</v>
      </c>
    </row>
    <row r="40" spans="6:38" ht="21" x14ac:dyDescent="0.5">
      <c r="F40" s="15" t="s">
        <v>4</v>
      </c>
      <c r="I40" s="8" t="s">
        <v>98</v>
      </c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40"/>
      <c r="W40" s="38"/>
      <c r="X40" s="38"/>
      <c r="Y40" s="38"/>
      <c r="Z40" s="38"/>
      <c r="AA40" s="38"/>
      <c r="AB40" s="38"/>
      <c r="AC40" s="38"/>
      <c r="AJ40" t="str">
        <f t="shared" si="0"/>
        <v/>
      </c>
    </row>
    <row r="41" spans="6:38" x14ac:dyDescent="0.35">
      <c r="G41" t="s">
        <v>99</v>
      </c>
      <c r="J41" s="36"/>
      <c r="K41" s="36"/>
      <c r="L41" s="36"/>
      <c r="M41" s="35" t="s">
        <v>45</v>
      </c>
      <c r="N41" s="36"/>
      <c r="O41" s="36"/>
      <c r="P41" s="36"/>
      <c r="Q41" s="36"/>
      <c r="R41" s="36"/>
      <c r="S41" s="36"/>
      <c r="T41" s="36"/>
      <c r="U41" s="36"/>
      <c r="V41" s="37"/>
      <c r="W41" s="36"/>
      <c r="X41" s="36"/>
      <c r="Y41" s="36"/>
      <c r="Z41" s="36"/>
      <c r="AA41" s="36"/>
      <c r="AB41" s="36"/>
      <c r="AC41" s="36"/>
      <c r="AD41" s="11" t="s">
        <v>99</v>
      </c>
      <c r="AE41" s="11" t="s">
        <v>344</v>
      </c>
      <c r="AF41" s="11" t="s">
        <v>293</v>
      </c>
      <c r="AG41" s="11" t="s">
        <v>100</v>
      </c>
      <c r="AH41" t="s">
        <v>343</v>
      </c>
      <c r="AJ41" t="str">
        <f t="shared" si="0"/>
        <v>x</v>
      </c>
    </row>
    <row r="42" spans="6:38" x14ac:dyDescent="0.35">
      <c r="G42" t="s">
        <v>90</v>
      </c>
      <c r="J42" s="36"/>
      <c r="K42" s="36"/>
      <c r="L42" s="36"/>
      <c r="M42" s="36" t="s">
        <v>45</v>
      </c>
      <c r="N42" s="36"/>
      <c r="O42" s="36"/>
      <c r="P42" s="36"/>
      <c r="Q42" s="36"/>
      <c r="R42" s="36"/>
      <c r="S42" s="36"/>
      <c r="T42" s="36"/>
      <c r="U42" s="36"/>
      <c r="V42" s="37"/>
      <c r="W42" s="36"/>
      <c r="X42" s="36"/>
      <c r="Y42" s="36"/>
      <c r="Z42" s="36"/>
      <c r="AA42" s="36"/>
      <c r="AB42" s="36"/>
      <c r="AC42" s="36"/>
      <c r="AD42" s="11" t="s">
        <v>90</v>
      </c>
      <c r="AE42" s="11" t="s">
        <v>344</v>
      </c>
      <c r="AF42" s="11" t="s">
        <v>90</v>
      </c>
      <c r="AG42" s="11" t="s">
        <v>101</v>
      </c>
      <c r="AH42" t="s">
        <v>343</v>
      </c>
      <c r="AJ42" t="str">
        <f t="shared" si="0"/>
        <v>x</v>
      </c>
    </row>
    <row r="43" spans="6:38" x14ac:dyDescent="0.35">
      <c r="G43" t="s">
        <v>92</v>
      </c>
      <c r="J43" s="36"/>
      <c r="K43" s="36"/>
      <c r="L43" s="36"/>
      <c r="M43" s="36" t="s">
        <v>45</v>
      </c>
      <c r="N43" s="36"/>
      <c r="O43" s="36"/>
      <c r="P43" s="36"/>
      <c r="Q43" s="36"/>
      <c r="R43" s="36"/>
      <c r="S43" s="36"/>
      <c r="T43" s="36"/>
      <c r="U43" s="36"/>
      <c r="V43" s="37"/>
      <c r="W43" s="36"/>
      <c r="X43" s="36"/>
      <c r="Y43" s="36"/>
      <c r="Z43" s="36"/>
      <c r="AA43" s="36"/>
      <c r="AB43" s="36"/>
      <c r="AC43" s="36"/>
      <c r="AD43" s="11" t="s">
        <v>92</v>
      </c>
      <c r="AE43" s="11" t="s">
        <v>344</v>
      </c>
      <c r="AF43" s="11" t="s">
        <v>92</v>
      </c>
      <c r="AG43" s="11" t="s">
        <v>102</v>
      </c>
      <c r="AH43" t="s">
        <v>343</v>
      </c>
      <c r="AJ43" t="str">
        <f t="shared" si="0"/>
        <v>x</v>
      </c>
    </row>
    <row r="44" spans="6:38" x14ac:dyDescent="0.35">
      <c r="G44" t="s">
        <v>94</v>
      </c>
      <c r="J44" s="36"/>
      <c r="K44" s="36"/>
      <c r="L44" s="36"/>
      <c r="M44" s="35" t="s">
        <v>45</v>
      </c>
      <c r="N44" s="36"/>
      <c r="O44" s="36"/>
      <c r="P44" s="36"/>
      <c r="Q44" s="36"/>
      <c r="R44" s="36"/>
      <c r="S44" s="36"/>
      <c r="T44" s="36"/>
      <c r="U44" s="36"/>
      <c r="V44" s="37"/>
      <c r="W44" s="36"/>
      <c r="X44" s="36"/>
      <c r="Y44" s="36"/>
      <c r="Z44" s="36"/>
      <c r="AA44" s="36"/>
      <c r="AB44" s="36"/>
      <c r="AC44" s="36"/>
      <c r="AD44" s="11" t="s">
        <v>94</v>
      </c>
      <c r="AE44" s="11" t="s">
        <v>343</v>
      </c>
      <c r="AF44" s="11" t="s">
        <v>94</v>
      </c>
      <c r="AG44" s="11" t="s">
        <v>103</v>
      </c>
      <c r="AH44" t="s">
        <v>444</v>
      </c>
      <c r="AJ44" t="str">
        <f t="shared" si="0"/>
        <v>x</v>
      </c>
    </row>
    <row r="45" spans="6:38" ht="21" x14ac:dyDescent="0.5">
      <c r="G45" s="15" t="s">
        <v>96</v>
      </c>
      <c r="I45" s="14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9"/>
      <c r="W45" s="38"/>
      <c r="X45" s="38"/>
      <c r="Y45" s="38"/>
      <c r="Z45" s="38"/>
      <c r="AA45" s="38"/>
      <c r="AB45" s="38"/>
      <c r="AC45" s="38"/>
      <c r="AJ45" t="str">
        <f t="shared" si="0"/>
        <v/>
      </c>
    </row>
    <row r="46" spans="6:38" x14ac:dyDescent="0.35">
      <c r="H46" t="s">
        <v>90</v>
      </c>
      <c r="J46" s="36"/>
      <c r="K46" s="36"/>
      <c r="L46" s="36"/>
      <c r="M46" s="36" t="s">
        <v>45</v>
      </c>
      <c r="N46" s="36"/>
      <c r="O46" s="36"/>
      <c r="P46" s="36"/>
      <c r="Q46" s="36"/>
      <c r="R46" s="36"/>
      <c r="S46" s="36"/>
      <c r="T46" s="36"/>
      <c r="U46" s="36"/>
      <c r="V46" s="37"/>
      <c r="W46" s="36"/>
      <c r="X46" s="36"/>
      <c r="Y46" s="36"/>
      <c r="Z46" s="36"/>
      <c r="AA46" s="36"/>
      <c r="AB46" s="36"/>
      <c r="AC46" s="36"/>
      <c r="AD46" s="11" t="s">
        <v>90</v>
      </c>
      <c r="AE46" s="11" t="s">
        <v>344</v>
      </c>
      <c r="AF46" s="11" t="s">
        <v>90</v>
      </c>
      <c r="AG46" s="11" t="s">
        <v>399</v>
      </c>
      <c r="AH46" t="s">
        <v>343</v>
      </c>
      <c r="AJ46" t="str">
        <f t="shared" si="0"/>
        <v>x</v>
      </c>
      <c r="AL46" t="s">
        <v>399</v>
      </c>
    </row>
    <row r="47" spans="6:38" x14ac:dyDescent="0.35">
      <c r="H47" t="s">
        <v>97</v>
      </c>
      <c r="J47" s="36"/>
      <c r="K47" s="36"/>
      <c r="L47" s="36"/>
      <c r="M47" s="36" t="s">
        <v>45</v>
      </c>
      <c r="N47" s="36"/>
      <c r="O47" s="36"/>
      <c r="P47" s="36"/>
      <c r="Q47" s="36"/>
      <c r="R47" s="36"/>
      <c r="S47" s="36"/>
      <c r="T47" s="36"/>
      <c r="U47" s="36"/>
      <c r="V47" s="37"/>
      <c r="W47" s="36"/>
      <c r="X47" s="36"/>
      <c r="Y47" s="36"/>
      <c r="Z47" s="36"/>
      <c r="AA47" s="36"/>
      <c r="AB47" s="36"/>
      <c r="AC47" s="36"/>
      <c r="AD47" s="11" t="s">
        <v>97</v>
      </c>
      <c r="AE47" s="11" t="s">
        <v>344</v>
      </c>
      <c r="AF47" s="11" t="s">
        <v>97</v>
      </c>
      <c r="AG47" s="11" t="s">
        <v>400</v>
      </c>
      <c r="AH47" t="s">
        <v>343</v>
      </c>
      <c r="AJ47" t="str">
        <f t="shared" si="0"/>
        <v>x</v>
      </c>
      <c r="AL47" t="s">
        <v>400</v>
      </c>
    </row>
    <row r="48" spans="6:38" ht="21" x14ac:dyDescent="0.5">
      <c r="F48" s="15" t="s">
        <v>104</v>
      </c>
      <c r="I48" s="8" t="s">
        <v>105</v>
      </c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40"/>
      <c r="W48" s="38"/>
      <c r="X48" s="38"/>
      <c r="Y48" s="38"/>
      <c r="Z48" s="38"/>
      <c r="AA48" s="38"/>
      <c r="AB48" s="38"/>
      <c r="AC48" s="38"/>
      <c r="AJ48" t="str">
        <f t="shared" si="0"/>
        <v/>
      </c>
    </row>
    <row r="49" spans="2:38" x14ac:dyDescent="0.35">
      <c r="G49" t="s">
        <v>89</v>
      </c>
      <c r="J49" s="36"/>
      <c r="K49" s="36"/>
      <c r="L49" s="36"/>
      <c r="M49" s="36"/>
      <c r="N49" s="35" t="s">
        <v>45</v>
      </c>
      <c r="O49" s="36"/>
      <c r="P49" s="36"/>
      <c r="Q49" s="36"/>
      <c r="R49" s="36"/>
      <c r="S49" s="36"/>
      <c r="T49" s="36"/>
      <c r="U49" s="36"/>
      <c r="V49" s="37"/>
      <c r="W49" s="36"/>
      <c r="X49" s="36"/>
      <c r="Y49" s="36"/>
      <c r="Z49" s="36"/>
      <c r="AA49" s="36"/>
      <c r="AB49" s="36"/>
      <c r="AC49" s="36"/>
      <c r="AD49" s="11" t="s">
        <v>89</v>
      </c>
      <c r="AE49" s="11" t="s">
        <v>46</v>
      </c>
      <c r="AF49" s="11" t="s">
        <v>89</v>
      </c>
      <c r="AG49" s="11" t="s">
        <v>106</v>
      </c>
      <c r="AH49" t="str">
        <f>IF(AE49="","",AE49)</f>
        <v>number (0 NK)</v>
      </c>
      <c r="AI49" s="12"/>
      <c r="AJ49" t="str">
        <f t="shared" si="0"/>
        <v/>
      </c>
    </row>
    <row r="50" spans="2:38" x14ac:dyDescent="0.35">
      <c r="G50" t="s">
        <v>57</v>
      </c>
      <c r="J50" s="36"/>
      <c r="K50" s="36"/>
      <c r="L50" s="36"/>
      <c r="M50" s="36"/>
      <c r="N50" s="35" t="s">
        <v>45</v>
      </c>
      <c r="O50" s="36"/>
      <c r="P50" s="36"/>
      <c r="Q50" s="36"/>
      <c r="R50" s="36"/>
      <c r="S50" s="36"/>
      <c r="T50" s="36"/>
      <c r="U50" s="36"/>
      <c r="V50" s="37"/>
      <c r="W50" s="36"/>
      <c r="X50" s="36"/>
      <c r="Y50" s="36"/>
      <c r="Z50" s="36"/>
      <c r="AA50" s="36"/>
      <c r="AB50" s="36"/>
      <c r="AC50" s="36"/>
      <c r="AD50" s="11" t="s">
        <v>57</v>
      </c>
      <c r="AE50" s="11" t="s">
        <v>345</v>
      </c>
      <c r="AF50" s="11" t="s">
        <v>57</v>
      </c>
      <c r="AG50" s="11" t="s">
        <v>107</v>
      </c>
      <c r="AH50" t="str">
        <f>IF(AE50="","",AE50)</f>
        <v>string (60)</v>
      </c>
      <c r="AJ50" t="str">
        <f t="shared" si="0"/>
        <v/>
      </c>
    </row>
    <row r="51" spans="2:38" ht="21" x14ac:dyDescent="0.5">
      <c r="G51" s="15" t="s">
        <v>60</v>
      </c>
      <c r="I51" s="14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9"/>
      <c r="W51" s="38"/>
      <c r="X51" s="38"/>
      <c r="Y51" s="38"/>
      <c r="Z51" s="38"/>
      <c r="AA51" s="38"/>
      <c r="AB51" s="38"/>
      <c r="AC51" s="38"/>
      <c r="AJ51" t="str">
        <f t="shared" si="0"/>
        <v/>
      </c>
    </row>
    <row r="52" spans="2:38" x14ac:dyDescent="0.35">
      <c r="H52" t="s">
        <v>61</v>
      </c>
      <c r="J52" s="36"/>
      <c r="K52" s="36"/>
      <c r="L52" s="36"/>
      <c r="M52" s="36"/>
      <c r="N52" s="35" t="s">
        <v>45</v>
      </c>
      <c r="O52" s="36"/>
      <c r="P52" s="36"/>
      <c r="Q52" s="36"/>
      <c r="R52" s="36"/>
      <c r="S52" s="36"/>
      <c r="T52" s="36"/>
      <c r="U52" s="36"/>
      <c r="V52" s="37"/>
      <c r="W52" s="36"/>
      <c r="X52" s="36"/>
      <c r="Y52" s="36"/>
      <c r="Z52" s="36"/>
      <c r="AA52" s="36"/>
      <c r="AB52" s="36"/>
      <c r="AC52" s="36"/>
      <c r="AD52" s="11" t="s">
        <v>61</v>
      </c>
      <c r="AE52" s="11" t="s">
        <v>345</v>
      </c>
      <c r="AF52" s="11" t="s">
        <v>61</v>
      </c>
      <c r="AG52" s="11" t="s">
        <v>108</v>
      </c>
      <c r="AH52" t="str">
        <f t="shared" ref="AH52:AH57" si="2">IF(AE52="","",AE52)</f>
        <v>string (60)</v>
      </c>
      <c r="AJ52" t="str">
        <f t="shared" si="0"/>
        <v/>
      </c>
      <c r="AK52" s="32" t="s">
        <v>335</v>
      </c>
    </row>
    <row r="53" spans="2:38" x14ac:dyDescent="0.35">
      <c r="H53" t="s">
        <v>64</v>
      </c>
      <c r="J53" s="36"/>
      <c r="K53" s="36"/>
      <c r="L53" s="36"/>
      <c r="M53" s="36"/>
      <c r="N53" s="35" t="s">
        <v>45</v>
      </c>
      <c r="O53" s="36"/>
      <c r="P53" s="36"/>
      <c r="Q53" s="36"/>
      <c r="R53" s="36"/>
      <c r="S53" s="36"/>
      <c r="T53" s="36"/>
      <c r="U53" s="36"/>
      <c r="V53" s="37"/>
      <c r="W53" s="36"/>
      <c r="X53" s="36"/>
      <c r="Y53" s="36"/>
      <c r="Z53" s="36"/>
      <c r="AA53" s="36"/>
      <c r="AB53" s="36"/>
      <c r="AC53" s="36"/>
      <c r="AD53" s="11" t="s">
        <v>64</v>
      </c>
      <c r="AE53" s="11" t="s">
        <v>346</v>
      </c>
      <c r="AF53" s="11" t="s">
        <v>109</v>
      </c>
      <c r="AG53" s="11" t="s">
        <v>110</v>
      </c>
      <c r="AH53" t="str">
        <f t="shared" si="2"/>
        <v>string (10)</v>
      </c>
      <c r="AJ53" t="str">
        <f t="shared" si="0"/>
        <v/>
      </c>
    </row>
    <row r="54" spans="2:38" x14ac:dyDescent="0.35">
      <c r="H54" t="s">
        <v>67</v>
      </c>
      <c r="J54" s="36"/>
      <c r="K54" s="36"/>
      <c r="L54" s="36"/>
      <c r="M54" s="36"/>
      <c r="N54" s="35" t="s">
        <v>45</v>
      </c>
      <c r="O54" s="36"/>
      <c r="P54" s="36"/>
      <c r="Q54" s="36"/>
      <c r="R54" s="36"/>
      <c r="S54" s="36"/>
      <c r="T54" s="36"/>
      <c r="U54" s="36"/>
      <c r="V54" s="37"/>
      <c r="W54" s="36"/>
      <c r="X54" s="36"/>
      <c r="Y54" s="36"/>
      <c r="Z54" s="36"/>
      <c r="AA54" s="36"/>
      <c r="AB54" s="36"/>
      <c r="AC54" s="36"/>
      <c r="AD54" s="11" t="s">
        <v>67</v>
      </c>
      <c r="AE54" s="11" t="s">
        <v>347</v>
      </c>
      <c r="AF54" s="11" t="s">
        <v>111</v>
      </c>
      <c r="AG54" s="11" t="s">
        <v>292</v>
      </c>
      <c r="AH54" t="str">
        <f t="shared" si="2"/>
        <v>string (62)</v>
      </c>
      <c r="AJ54" t="str">
        <f t="shared" si="0"/>
        <v/>
      </c>
    </row>
    <row r="55" spans="2:38" x14ac:dyDescent="0.35">
      <c r="H55" t="s">
        <v>70</v>
      </c>
      <c r="J55" s="36"/>
      <c r="K55" s="36"/>
      <c r="L55" s="36"/>
      <c r="M55" s="36"/>
      <c r="N55" s="35" t="s">
        <v>45</v>
      </c>
      <c r="O55" s="36"/>
      <c r="P55" s="36"/>
      <c r="Q55" s="36"/>
      <c r="R55" s="36"/>
      <c r="S55" s="36"/>
      <c r="T55" s="36"/>
      <c r="U55" s="36"/>
      <c r="V55" s="37"/>
      <c r="W55" s="36"/>
      <c r="X55" s="36"/>
      <c r="Y55" s="36"/>
      <c r="Z55" s="36"/>
      <c r="AA55" s="36"/>
      <c r="AB55" s="36"/>
      <c r="AC55" s="36"/>
      <c r="AD55" s="11" t="s">
        <v>70</v>
      </c>
      <c r="AE55" s="11" t="s">
        <v>71</v>
      </c>
      <c r="AF55" s="11" t="s">
        <v>112</v>
      </c>
      <c r="AG55" s="11" t="s">
        <v>113</v>
      </c>
      <c r="AH55" t="str">
        <f t="shared" si="2"/>
        <v>string (3)</v>
      </c>
      <c r="AJ55" t="str">
        <f t="shared" si="0"/>
        <v/>
      </c>
    </row>
    <row r="56" spans="2:38" x14ac:dyDescent="0.35">
      <c r="G56" t="s">
        <v>74</v>
      </c>
      <c r="J56" s="36"/>
      <c r="K56" s="36"/>
      <c r="L56" s="36"/>
      <c r="M56" s="36"/>
      <c r="N56" s="51" t="s">
        <v>45</v>
      </c>
      <c r="O56" s="36"/>
      <c r="P56" s="36"/>
      <c r="Q56" s="36"/>
      <c r="R56" s="36"/>
      <c r="S56" s="36"/>
      <c r="T56" s="36"/>
      <c r="U56" s="36"/>
      <c r="V56" s="37"/>
      <c r="W56" s="36"/>
      <c r="X56" s="36"/>
      <c r="Y56" s="36"/>
      <c r="Z56" s="36"/>
      <c r="AA56" s="36"/>
      <c r="AB56" s="36"/>
      <c r="AC56" s="36"/>
      <c r="AD56" s="11" t="s">
        <v>74</v>
      </c>
      <c r="AE56" s="11" t="s">
        <v>348</v>
      </c>
      <c r="AF56" s="11" t="s">
        <v>74</v>
      </c>
      <c r="AG56" s="11" t="s">
        <v>114</v>
      </c>
      <c r="AH56" t="str">
        <f t="shared" si="2"/>
        <v>string (20)</v>
      </c>
      <c r="AJ56" t="str">
        <f t="shared" si="0"/>
        <v/>
      </c>
    </row>
    <row r="57" spans="2:38" ht="12.75" customHeight="1" x14ac:dyDescent="0.35">
      <c r="G57" t="s">
        <v>77</v>
      </c>
      <c r="J57" s="36"/>
      <c r="K57" s="36"/>
      <c r="L57" s="36"/>
      <c r="M57" s="36"/>
      <c r="N57" s="51" t="s">
        <v>45</v>
      </c>
      <c r="O57" s="36"/>
      <c r="P57" s="36"/>
      <c r="Q57" s="36"/>
      <c r="R57" s="36"/>
      <c r="S57" s="36"/>
      <c r="T57" s="36"/>
      <c r="U57" s="36"/>
      <c r="V57" s="37"/>
      <c r="W57" s="36"/>
      <c r="X57" s="36"/>
      <c r="Y57" s="36"/>
      <c r="Z57" s="36"/>
      <c r="AA57" s="36"/>
      <c r="AB57" s="36"/>
      <c r="AC57" s="36"/>
      <c r="AD57" s="11" t="s">
        <v>77</v>
      </c>
      <c r="AE57" s="11" t="s">
        <v>349</v>
      </c>
      <c r="AF57" s="11" t="s">
        <v>77</v>
      </c>
      <c r="AG57" s="11" t="s">
        <v>115</v>
      </c>
      <c r="AH57" t="str">
        <f t="shared" si="2"/>
        <v>string (15)</v>
      </c>
      <c r="AJ57" t="str">
        <f t="shared" si="0"/>
        <v/>
      </c>
    </row>
    <row r="58" spans="2:38" hidden="1" x14ac:dyDescent="0.35">
      <c r="J58" s="36"/>
      <c r="K58" s="36"/>
      <c r="L58" s="36"/>
      <c r="M58" s="36"/>
      <c r="N58" s="36"/>
      <c r="O58" s="38"/>
      <c r="P58" s="36"/>
      <c r="Q58" s="36"/>
      <c r="R58" s="36"/>
      <c r="S58" s="36"/>
      <c r="T58" s="36"/>
      <c r="U58" s="36"/>
      <c r="V58" s="37"/>
      <c r="W58" s="36"/>
      <c r="X58" s="36"/>
      <c r="Y58" s="36"/>
      <c r="Z58" s="36"/>
      <c r="AA58" s="36"/>
      <c r="AB58" s="36"/>
      <c r="AC58" s="36"/>
      <c r="AD58" s="11"/>
      <c r="AE58" s="11"/>
      <c r="AF58" s="11"/>
      <c r="AG58" s="11"/>
      <c r="AL58" t="s">
        <v>45</v>
      </c>
    </row>
    <row r="59" spans="2:38" ht="21" x14ac:dyDescent="0.5">
      <c r="F59" s="15" t="s">
        <v>116</v>
      </c>
      <c r="I59" s="8" t="s">
        <v>117</v>
      </c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40"/>
      <c r="W59" s="38"/>
      <c r="X59" s="38"/>
      <c r="Y59" s="38"/>
      <c r="Z59" s="38"/>
      <c r="AA59" s="38"/>
      <c r="AB59" s="38"/>
      <c r="AC59" s="38"/>
      <c r="AJ59" t="str">
        <f t="shared" si="0"/>
        <v/>
      </c>
    </row>
    <row r="60" spans="2:38" x14ac:dyDescent="0.35">
      <c r="G60" t="s">
        <v>89</v>
      </c>
      <c r="J60" s="36"/>
      <c r="K60" s="36"/>
      <c r="L60" s="36"/>
      <c r="M60" s="36"/>
      <c r="N60" s="36"/>
      <c r="O60" s="36"/>
      <c r="P60" s="35" t="s">
        <v>45</v>
      </c>
      <c r="Q60" s="36"/>
      <c r="R60" s="36"/>
      <c r="S60" s="36"/>
      <c r="T60" s="36"/>
      <c r="U60" s="36"/>
      <c r="V60" s="37"/>
      <c r="W60" s="36"/>
      <c r="X60" s="36"/>
      <c r="Y60" s="36"/>
      <c r="Z60" s="36"/>
      <c r="AA60" s="36"/>
      <c r="AB60" s="36"/>
      <c r="AC60" s="36"/>
      <c r="AD60" s="11" t="s">
        <v>89</v>
      </c>
      <c r="AE60" s="11" t="s">
        <v>46</v>
      </c>
      <c r="AF60" s="11" t="s">
        <v>118</v>
      </c>
      <c r="AG60" s="11" t="s">
        <v>119</v>
      </c>
      <c r="AH60" t="str">
        <f>IF(AE60="","",AE60)</f>
        <v>number (0 NK)</v>
      </c>
      <c r="AJ60" t="str">
        <f t="shared" si="0"/>
        <v/>
      </c>
    </row>
    <row r="61" spans="2:38" x14ac:dyDescent="0.35">
      <c r="G61" t="s">
        <v>120</v>
      </c>
      <c r="J61" s="36"/>
      <c r="K61" s="36"/>
      <c r="L61" s="36"/>
      <c r="M61" s="36"/>
      <c r="N61" s="36"/>
      <c r="O61" s="36"/>
      <c r="P61" s="35" t="s">
        <v>45</v>
      </c>
      <c r="Q61" s="36"/>
      <c r="R61" s="36"/>
      <c r="S61" s="36"/>
      <c r="T61" s="36"/>
      <c r="U61" s="36"/>
      <c r="V61" s="37"/>
      <c r="W61" s="36"/>
      <c r="X61" s="36"/>
      <c r="Y61" s="36"/>
      <c r="Z61" s="36"/>
      <c r="AA61" s="36"/>
      <c r="AB61" s="36"/>
      <c r="AC61" s="36"/>
      <c r="AD61" s="11" t="s">
        <v>120</v>
      </c>
      <c r="AE61" s="11" t="s">
        <v>121</v>
      </c>
      <c r="AF61" s="11" t="s">
        <v>120</v>
      </c>
      <c r="AG61" s="11" t="s">
        <v>122</v>
      </c>
      <c r="AH61" t="str">
        <f>IF(AE61="","",AE61)</f>
        <v>number (2 NK)</v>
      </c>
      <c r="AJ61" t="str">
        <f t="shared" si="0"/>
        <v/>
      </c>
    </row>
    <row r="62" spans="2:38" x14ac:dyDescent="0.35">
      <c r="G62" t="s">
        <v>123</v>
      </c>
      <c r="J62" s="36"/>
      <c r="K62" s="36"/>
      <c r="L62" s="36"/>
      <c r="M62" s="36"/>
      <c r="N62" s="36"/>
      <c r="O62" s="36"/>
      <c r="P62" s="35" t="s">
        <v>45</v>
      </c>
      <c r="Q62" s="36"/>
      <c r="R62" s="36"/>
      <c r="S62" s="36"/>
      <c r="T62" s="36"/>
      <c r="U62" s="36"/>
      <c r="V62" s="37"/>
      <c r="W62" s="36"/>
      <c r="X62" s="36"/>
      <c r="Y62" s="36"/>
      <c r="Z62" s="36"/>
      <c r="AA62" s="36"/>
      <c r="AB62" s="36"/>
      <c r="AC62" s="36"/>
      <c r="AD62" s="11" t="s">
        <v>123</v>
      </c>
      <c r="AE62" s="11" t="s">
        <v>344</v>
      </c>
      <c r="AF62" s="11" t="s">
        <v>123</v>
      </c>
      <c r="AG62" s="11" t="s">
        <v>124</v>
      </c>
      <c r="AH62" t="s">
        <v>445</v>
      </c>
      <c r="AJ62" t="str">
        <f t="shared" si="0"/>
        <v>x</v>
      </c>
    </row>
    <row r="63" spans="2:38" ht="23.5" x14ac:dyDescent="0.55000000000000004">
      <c r="B63" s="13" t="s">
        <v>353</v>
      </c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7"/>
      <c r="W63" s="36"/>
      <c r="X63" s="36"/>
      <c r="Y63" s="36"/>
      <c r="Z63" s="36"/>
      <c r="AA63" s="36"/>
      <c r="AB63" s="36"/>
      <c r="AC63" s="36"/>
      <c r="AD63" s="11"/>
      <c r="AE63" s="11"/>
      <c r="AF63" s="11"/>
      <c r="AG63" s="11"/>
    </row>
    <row r="64" spans="2:38" ht="21" x14ac:dyDescent="0.5">
      <c r="C64" s="15" t="s">
        <v>354</v>
      </c>
      <c r="I64" s="8" t="s">
        <v>374</v>
      </c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7"/>
      <c r="W64" s="36"/>
      <c r="X64" s="36"/>
      <c r="Y64" s="36"/>
      <c r="Z64" s="36"/>
      <c r="AA64" s="36"/>
      <c r="AB64" s="36"/>
      <c r="AC64" s="36"/>
      <c r="AD64" s="11"/>
      <c r="AE64" s="11"/>
      <c r="AF64" s="11"/>
      <c r="AG64" s="11"/>
    </row>
    <row r="65" spans="3:38" x14ac:dyDescent="0.35">
      <c r="D65" t="s">
        <v>89</v>
      </c>
      <c r="J65" s="36"/>
      <c r="K65" s="36"/>
      <c r="L65" s="36"/>
      <c r="M65" s="36"/>
      <c r="N65" s="36"/>
      <c r="O65" s="35" t="s">
        <v>45</v>
      </c>
      <c r="P65" s="36"/>
      <c r="Q65" s="36"/>
      <c r="R65" s="36"/>
      <c r="S65" s="36"/>
      <c r="T65" s="36"/>
      <c r="U65" s="36"/>
      <c r="V65" s="37"/>
      <c r="W65" s="36"/>
      <c r="X65" s="36"/>
      <c r="Y65" s="36"/>
      <c r="Z65" s="36"/>
      <c r="AA65" s="36"/>
      <c r="AB65" s="36"/>
      <c r="AC65" s="36"/>
      <c r="AD65" s="11" t="s">
        <v>89</v>
      </c>
      <c r="AE65" s="11" t="s">
        <v>46</v>
      </c>
      <c r="AF65" s="11"/>
      <c r="AG65" s="11" t="s">
        <v>362</v>
      </c>
      <c r="AH65" t="str">
        <f>IF(AE65="","",AE65)</f>
        <v>number (0 NK)</v>
      </c>
    </row>
    <row r="66" spans="3:38" x14ac:dyDescent="0.35">
      <c r="D66" t="s">
        <v>94</v>
      </c>
      <c r="J66" s="36"/>
      <c r="K66" s="36"/>
      <c r="L66" s="36"/>
      <c r="M66" s="36"/>
      <c r="N66" s="36"/>
      <c r="O66" s="35" t="s">
        <v>45</v>
      </c>
      <c r="P66" s="36"/>
      <c r="Q66" s="36"/>
      <c r="R66" s="36"/>
      <c r="S66" s="36"/>
      <c r="T66" s="36"/>
      <c r="U66" s="36"/>
      <c r="V66" s="37"/>
      <c r="W66" s="36"/>
      <c r="X66" s="36"/>
      <c r="Y66" s="36"/>
      <c r="Z66" s="36"/>
      <c r="AA66" s="36"/>
      <c r="AB66" s="36"/>
      <c r="AC66" s="36"/>
      <c r="AD66" s="11" t="s">
        <v>94</v>
      </c>
      <c r="AE66" s="11" t="s">
        <v>358</v>
      </c>
      <c r="AF66" s="11"/>
      <c r="AG66" s="11" t="s">
        <v>363</v>
      </c>
      <c r="AH66" t="s">
        <v>434</v>
      </c>
    </row>
    <row r="67" spans="3:38" x14ac:dyDescent="0.35">
      <c r="D67" t="s">
        <v>355</v>
      </c>
      <c r="J67" s="36"/>
      <c r="K67" s="36"/>
      <c r="L67" s="36"/>
      <c r="M67" s="36"/>
      <c r="N67" s="36"/>
      <c r="O67" s="35" t="s">
        <v>45</v>
      </c>
      <c r="P67" s="36"/>
      <c r="Q67" s="36"/>
      <c r="R67" s="36"/>
      <c r="S67" s="36"/>
      <c r="T67" s="36"/>
      <c r="U67" s="36"/>
      <c r="V67" s="37"/>
      <c r="W67" s="36"/>
      <c r="X67" s="36"/>
      <c r="Y67" s="36"/>
      <c r="Z67" s="36"/>
      <c r="AA67" s="36"/>
      <c r="AB67" s="36"/>
      <c r="AC67" s="36"/>
      <c r="AD67" s="11" t="s">
        <v>355</v>
      </c>
      <c r="AE67" s="11" t="s">
        <v>359</v>
      </c>
      <c r="AF67" s="11"/>
      <c r="AG67" s="11" t="s">
        <v>396</v>
      </c>
      <c r="AH67" t="str">
        <f>IF(AE67="","",AE67)</f>
        <v>string (21)</v>
      </c>
    </row>
    <row r="68" spans="3:38" x14ac:dyDescent="0.35">
      <c r="D68" t="s">
        <v>356</v>
      </c>
      <c r="J68" s="36"/>
      <c r="K68" s="36"/>
      <c r="L68" s="36"/>
      <c r="M68" s="36"/>
      <c r="N68" s="36"/>
      <c r="O68" s="35" t="s">
        <v>45</v>
      </c>
      <c r="P68" s="36"/>
      <c r="Q68" s="36"/>
      <c r="R68" s="36"/>
      <c r="S68" s="36"/>
      <c r="T68" s="36"/>
      <c r="U68" s="36"/>
      <c r="V68" s="37"/>
      <c r="W68" s="36"/>
      <c r="X68" s="36"/>
      <c r="Y68" s="36"/>
      <c r="Z68" s="36"/>
      <c r="AA68" s="36"/>
      <c r="AB68" s="36"/>
      <c r="AC68" s="36"/>
      <c r="AD68" s="11" t="s">
        <v>356</v>
      </c>
      <c r="AE68" s="11" t="s">
        <v>360</v>
      </c>
      <c r="AF68" s="11"/>
      <c r="AG68" s="11" t="s">
        <v>382</v>
      </c>
      <c r="AH68" t="str">
        <f>IF(AE68="","",AE68)</f>
        <v>string (31)</v>
      </c>
    </row>
    <row r="69" spans="3:38" x14ac:dyDescent="0.35">
      <c r="D69" s="53" t="s">
        <v>439</v>
      </c>
      <c r="E69" s="54"/>
      <c r="J69" s="36"/>
      <c r="K69" s="36"/>
      <c r="L69" s="36"/>
      <c r="M69" s="36"/>
      <c r="N69" s="36"/>
      <c r="O69" s="35" t="s">
        <v>45</v>
      </c>
      <c r="P69" s="36"/>
      <c r="Q69" s="36"/>
      <c r="R69" s="36"/>
      <c r="S69" s="36"/>
      <c r="T69" s="36"/>
      <c r="U69" s="36"/>
      <c r="V69" s="37"/>
      <c r="W69" s="36"/>
      <c r="X69" s="36"/>
      <c r="Y69" s="36"/>
      <c r="Z69" s="36"/>
      <c r="AA69" s="36"/>
      <c r="AB69" s="36"/>
      <c r="AC69" s="36"/>
      <c r="AD69" s="48" t="s">
        <v>391</v>
      </c>
      <c r="AE69" s="48" t="s">
        <v>361</v>
      </c>
      <c r="AF69" s="48"/>
      <c r="AG69" s="48" t="s">
        <v>390</v>
      </c>
      <c r="AH69" t="s">
        <v>433</v>
      </c>
    </row>
    <row r="70" spans="3:38" x14ac:dyDescent="0.35">
      <c r="D70" s="55"/>
      <c r="E70" s="56"/>
      <c r="J70" s="36"/>
      <c r="K70" s="36"/>
      <c r="L70" s="36"/>
      <c r="M70" s="36"/>
      <c r="N70" s="36"/>
      <c r="O70" s="35" t="s">
        <v>45</v>
      </c>
      <c r="P70" s="36"/>
      <c r="Q70" s="36"/>
      <c r="R70" s="36"/>
      <c r="S70" s="36"/>
      <c r="T70" s="36"/>
      <c r="U70" s="36"/>
      <c r="V70" s="37"/>
      <c r="W70" s="36"/>
      <c r="X70" s="36"/>
      <c r="Y70" s="36"/>
      <c r="Z70" s="36"/>
      <c r="AA70" s="36"/>
      <c r="AB70" s="36"/>
      <c r="AC70" s="36"/>
      <c r="AD70" s="48" t="s">
        <v>432</v>
      </c>
      <c r="AE70" s="48" t="s">
        <v>361</v>
      </c>
      <c r="AF70" s="48"/>
      <c r="AG70" s="48" t="s">
        <v>435</v>
      </c>
      <c r="AH70" t="s">
        <v>438</v>
      </c>
    </row>
    <row r="71" spans="3:38" x14ac:dyDescent="0.35">
      <c r="D71" s="57"/>
      <c r="E71" s="58"/>
      <c r="J71" s="36"/>
      <c r="K71" s="36"/>
      <c r="L71" s="36"/>
      <c r="M71" s="36"/>
      <c r="N71" s="36"/>
      <c r="O71" s="35" t="s">
        <v>45</v>
      </c>
      <c r="P71" s="36"/>
      <c r="Q71" s="36"/>
      <c r="R71" s="36"/>
      <c r="S71" s="36"/>
      <c r="T71" s="36"/>
      <c r="U71" s="36"/>
      <c r="V71" s="37"/>
      <c r="W71" s="36"/>
      <c r="X71" s="36"/>
      <c r="Y71" s="36"/>
      <c r="Z71" s="36"/>
      <c r="AA71" s="36"/>
      <c r="AB71" s="36"/>
      <c r="AC71" s="36"/>
      <c r="AD71" s="48" t="s">
        <v>437</v>
      </c>
      <c r="AE71" s="48" t="s">
        <v>361</v>
      </c>
      <c r="AF71" s="48"/>
      <c r="AG71" s="48" t="s">
        <v>436</v>
      </c>
      <c r="AH71" t="s">
        <v>438</v>
      </c>
    </row>
    <row r="72" spans="3:38" x14ac:dyDescent="0.35">
      <c r="C72" t="s">
        <v>357</v>
      </c>
      <c r="J72" s="36"/>
      <c r="K72" s="36"/>
      <c r="L72" s="36"/>
      <c r="M72" s="36"/>
      <c r="N72" s="36"/>
      <c r="O72" s="35" t="s">
        <v>45</v>
      </c>
      <c r="P72" s="36"/>
      <c r="Q72" s="36"/>
      <c r="R72" s="36"/>
      <c r="S72" s="36"/>
      <c r="T72" s="36"/>
      <c r="U72" s="36"/>
      <c r="V72" s="37"/>
      <c r="W72" s="36"/>
      <c r="X72" s="36"/>
      <c r="Y72" s="36"/>
      <c r="Z72" s="36"/>
      <c r="AA72" s="36"/>
      <c r="AB72" s="36"/>
      <c r="AC72" s="36"/>
      <c r="AD72" s="11" t="s">
        <v>357</v>
      </c>
      <c r="AE72" s="11"/>
      <c r="AF72" s="11"/>
      <c r="AG72" s="11" t="s">
        <v>364</v>
      </c>
      <c r="AH72" t="s">
        <v>440</v>
      </c>
    </row>
    <row r="73" spans="3:38" ht="21" x14ac:dyDescent="0.5">
      <c r="C73" s="15" t="s">
        <v>126</v>
      </c>
      <c r="I73" s="8" t="s">
        <v>127</v>
      </c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40"/>
      <c r="W73" s="38"/>
      <c r="X73" s="38"/>
      <c r="Y73" s="38"/>
      <c r="Z73" s="38"/>
      <c r="AA73" s="38"/>
      <c r="AB73" s="38"/>
      <c r="AC73" s="38"/>
      <c r="AJ73" t="str">
        <f t="shared" si="0"/>
        <v/>
      </c>
    </row>
    <row r="74" spans="3:38" x14ac:dyDescent="0.35">
      <c r="D74" t="s">
        <v>147</v>
      </c>
      <c r="J74" s="36"/>
      <c r="K74" s="36"/>
      <c r="L74" s="36"/>
      <c r="M74" s="36"/>
      <c r="N74" s="36"/>
      <c r="O74" s="36"/>
      <c r="P74" s="36"/>
      <c r="Q74" s="35" t="s">
        <v>45</v>
      </c>
      <c r="R74" s="36"/>
      <c r="S74" s="36"/>
      <c r="T74" s="36"/>
      <c r="U74" s="36"/>
      <c r="V74" s="37"/>
      <c r="W74" s="36"/>
      <c r="X74" s="36"/>
      <c r="Y74" s="36"/>
      <c r="Z74" s="36"/>
      <c r="AA74" s="36"/>
      <c r="AB74" s="36"/>
      <c r="AC74" s="36"/>
      <c r="AD74" s="11" t="s">
        <v>147</v>
      </c>
      <c r="AE74" s="11" t="s">
        <v>350</v>
      </c>
      <c r="AF74" s="11" t="s">
        <v>147</v>
      </c>
      <c r="AG74" s="11" t="s">
        <v>128</v>
      </c>
      <c r="AH74" t="str">
        <f>IF(AE74="","",AE74)</f>
        <v>string (30)</v>
      </c>
      <c r="AJ74" t="str">
        <f t="shared" si="0"/>
        <v/>
      </c>
      <c r="AK74" s="33" t="s">
        <v>336</v>
      </c>
    </row>
    <row r="75" spans="3:38" x14ac:dyDescent="0.35">
      <c r="D75" t="s">
        <v>57</v>
      </c>
      <c r="J75" s="36"/>
      <c r="K75" s="36"/>
      <c r="L75" s="36"/>
      <c r="M75" s="36"/>
      <c r="N75" s="36"/>
      <c r="O75" s="36"/>
      <c r="P75" s="36"/>
      <c r="Q75" s="36" t="s">
        <v>45</v>
      </c>
      <c r="R75" s="36"/>
      <c r="S75" s="36"/>
      <c r="T75" s="36"/>
      <c r="U75" s="36"/>
      <c r="V75" s="37"/>
      <c r="W75" s="36"/>
      <c r="X75" s="36"/>
      <c r="Y75" s="36"/>
      <c r="Z75" s="36"/>
      <c r="AA75" s="36"/>
      <c r="AB75" s="36"/>
      <c r="AC75" s="36"/>
      <c r="AD75" s="11" t="s">
        <v>57</v>
      </c>
      <c r="AE75" s="11" t="s">
        <v>342</v>
      </c>
      <c r="AF75" s="11" t="s">
        <v>57</v>
      </c>
      <c r="AG75" s="11" t="s">
        <v>296</v>
      </c>
      <c r="AH75" t="str">
        <f>IF(AE75="","",AE75)</f>
        <v>string (40)</v>
      </c>
      <c r="AJ75" t="str">
        <f t="shared" si="0"/>
        <v/>
      </c>
    </row>
    <row r="76" spans="3:38" x14ac:dyDescent="0.35">
      <c r="D76" t="s">
        <v>129</v>
      </c>
      <c r="J76" s="36"/>
      <c r="K76" s="36"/>
      <c r="L76" s="36"/>
      <c r="M76" s="36"/>
      <c r="N76" s="36"/>
      <c r="O76" s="36"/>
      <c r="P76" s="36"/>
      <c r="Q76" s="36" t="s">
        <v>45</v>
      </c>
      <c r="R76" s="36"/>
      <c r="S76" s="36"/>
      <c r="T76" s="36"/>
      <c r="U76" s="36"/>
      <c r="V76" s="37"/>
      <c r="W76" s="36"/>
      <c r="X76" s="36"/>
      <c r="Y76" s="36"/>
      <c r="Z76" s="36"/>
      <c r="AA76" s="36"/>
      <c r="AB76" s="36"/>
      <c r="AC76" s="36"/>
      <c r="AD76" s="11" t="s">
        <v>129</v>
      </c>
      <c r="AE76" s="11" t="s">
        <v>46</v>
      </c>
      <c r="AF76" s="11" t="s">
        <v>129</v>
      </c>
      <c r="AG76" s="11" t="s">
        <v>106</v>
      </c>
      <c r="AH76" t="str">
        <f>IF(AE76="","",AE76)</f>
        <v>number (0 NK)</v>
      </c>
      <c r="AI76" s="12"/>
      <c r="AJ76" t="str">
        <f t="shared" si="0"/>
        <v/>
      </c>
    </row>
    <row r="77" spans="3:38" ht="21" x14ac:dyDescent="0.5">
      <c r="D77" s="15" t="s">
        <v>130</v>
      </c>
      <c r="I77" s="14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9"/>
      <c r="W77" s="38"/>
      <c r="X77" s="38"/>
      <c r="Y77" s="38"/>
      <c r="Z77" s="38"/>
      <c r="AA77" s="38"/>
      <c r="AB77" s="38"/>
      <c r="AC77" s="38"/>
      <c r="AJ77" t="str">
        <f t="shared" si="0"/>
        <v/>
      </c>
    </row>
    <row r="78" spans="3:38" x14ac:dyDescent="0.35">
      <c r="E78" t="s">
        <v>89</v>
      </c>
      <c r="J78" s="36"/>
      <c r="K78" s="36"/>
      <c r="L78" s="36"/>
      <c r="M78" s="36"/>
      <c r="N78" s="36"/>
      <c r="O78" s="36"/>
      <c r="P78" s="36"/>
      <c r="Q78" s="35" t="s">
        <v>45</v>
      </c>
      <c r="R78" s="36"/>
      <c r="S78" s="36"/>
      <c r="T78" s="36"/>
      <c r="U78" s="36"/>
      <c r="V78" s="37"/>
      <c r="W78" s="36"/>
      <c r="X78" s="36"/>
      <c r="Y78" s="36"/>
      <c r="Z78" s="36"/>
      <c r="AA78" s="36"/>
      <c r="AB78" s="36"/>
      <c r="AC78" s="36"/>
      <c r="AD78" s="11" t="s">
        <v>89</v>
      </c>
      <c r="AE78" s="11" t="s">
        <v>46</v>
      </c>
      <c r="AF78" s="11" t="s">
        <v>118</v>
      </c>
      <c r="AG78" s="11" t="s">
        <v>119</v>
      </c>
      <c r="AH78" t="str">
        <f>IF(AE78="","",AE78)</f>
        <v>number (0 NK)</v>
      </c>
      <c r="AJ78" t="str">
        <f t="shared" si="0"/>
        <v/>
      </c>
    </row>
    <row r="79" spans="3:38" x14ac:dyDescent="0.35">
      <c r="E79" t="s">
        <v>131</v>
      </c>
      <c r="J79" s="36"/>
      <c r="K79" s="36"/>
      <c r="L79" s="36"/>
      <c r="M79" s="36"/>
      <c r="N79" s="36"/>
      <c r="O79" s="36"/>
      <c r="P79" s="36"/>
      <c r="Q79" s="35" t="s">
        <v>45</v>
      </c>
      <c r="R79" s="36"/>
      <c r="S79" s="36"/>
      <c r="T79" s="36"/>
      <c r="U79" s="36"/>
      <c r="V79" s="37"/>
      <c r="W79" s="36"/>
      <c r="X79" s="36"/>
      <c r="Y79" s="36"/>
      <c r="Z79" s="36"/>
      <c r="AA79" s="36"/>
      <c r="AB79" s="36"/>
      <c r="AC79" s="36"/>
      <c r="AD79" s="11" t="s">
        <v>131</v>
      </c>
      <c r="AE79" s="11" t="s">
        <v>132</v>
      </c>
      <c r="AF79" s="11" t="s">
        <v>131</v>
      </c>
      <c r="AG79" s="11" t="s">
        <v>404</v>
      </c>
      <c r="AH79" t="str">
        <f>IF(AE79="","",AE79)</f>
        <v>number (5 NK)</v>
      </c>
      <c r="AJ79" t="str">
        <f t="shared" si="0"/>
        <v/>
      </c>
      <c r="AL79" t="s">
        <v>404</v>
      </c>
    </row>
    <row r="80" spans="3:38" x14ac:dyDescent="0.35">
      <c r="E80" t="s">
        <v>133</v>
      </c>
      <c r="J80" s="36"/>
      <c r="K80" s="36"/>
      <c r="L80" s="36"/>
      <c r="M80" s="36"/>
      <c r="N80" s="36"/>
      <c r="O80" s="36"/>
      <c r="P80" s="36"/>
      <c r="Q80" s="35" t="s">
        <v>45</v>
      </c>
      <c r="R80" s="36"/>
      <c r="S80" s="36"/>
      <c r="T80" s="36"/>
      <c r="U80" s="36"/>
      <c r="V80" s="37"/>
      <c r="W80" s="36"/>
      <c r="X80" s="36"/>
      <c r="Y80" s="36"/>
      <c r="Z80" s="36"/>
      <c r="AA80" s="36"/>
      <c r="AB80" s="36"/>
      <c r="AC80" s="36"/>
      <c r="AD80" s="11" t="s">
        <v>133</v>
      </c>
      <c r="AE80" s="11" t="s">
        <v>132</v>
      </c>
      <c r="AF80" s="11" t="s">
        <v>133</v>
      </c>
      <c r="AG80" s="11" t="s">
        <v>405</v>
      </c>
      <c r="AH80" t="str">
        <f>IF(AE80="","",AE80)</f>
        <v>number (5 NK)</v>
      </c>
      <c r="AJ80" t="str">
        <f t="shared" si="0"/>
        <v/>
      </c>
      <c r="AL80" t="s">
        <v>405</v>
      </c>
    </row>
    <row r="81" spans="2:38" x14ac:dyDescent="0.35">
      <c r="E81" t="s">
        <v>6</v>
      </c>
      <c r="J81" s="36"/>
      <c r="K81" s="36"/>
      <c r="L81" s="36"/>
      <c r="M81" s="36"/>
      <c r="N81" s="36"/>
      <c r="O81" s="36"/>
      <c r="P81" s="36"/>
      <c r="Q81" s="35" t="s">
        <v>45</v>
      </c>
      <c r="R81" s="36"/>
      <c r="S81" s="36"/>
      <c r="T81" s="36"/>
      <c r="U81" s="36"/>
      <c r="V81" s="37"/>
      <c r="W81" s="36"/>
      <c r="X81" s="36"/>
      <c r="Y81" s="36"/>
      <c r="Z81" s="36"/>
      <c r="AA81" s="36"/>
      <c r="AB81" s="36"/>
      <c r="AC81" s="36"/>
      <c r="AD81" s="11" t="s">
        <v>6</v>
      </c>
      <c r="AE81" s="11" t="s">
        <v>132</v>
      </c>
      <c r="AF81" s="11" t="s">
        <v>6</v>
      </c>
      <c r="AG81" s="11" t="s">
        <v>423</v>
      </c>
      <c r="AH81" t="str">
        <f>IF(AE81="","",AE81)</f>
        <v>number (5 NK)</v>
      </c>
      <c r="AJ81" t="str">
        <f t="shared" ref="AJ81:AJ156" si="3">IF(AH81&lt;&gt;AE81,"x","")</f>
        <v/>
      </c>
      <c r="AL81" t="s">
        <v>406</v>
      </c>
    </row>
    <row r="82" spans="2:38" ht="21" x14ac:dyDescent="0.5">
      <c r="C82" s="15" t="s">
        <v>8</v>
      </c>
      <c r="I82" s="14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9"/>
      <c r="W82" s="38"/>
      <c r="X82" s="38"/>
      <c r="Y82" s="38"/>
      <c r="Z82" s="38"/>
      <c r="AA82" s="38"/>
      <c r="AB82" s="38"/>
      <c r="AC82" s="38"/>
      <c r="AJ82" t="str">
        <f t="shared" si="3"/>
        <v/>
      </c>
    </row>
    <row r="83" spans="2:38" x14ac:dyDescent="0.35">
      <c r="D83" t="s">
        <v>134</v>
      </c>
      <c r="I83" s="1"/>
      <c r="J83" s="35" t="s">
        <v>45</v>
      </c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11" t="s">
        <v>134</v>
      </c>
      <c r="AE83" s="11" t="s">
        <v>121</v>
      </c>
      <c r="AF83" s="11" t="s">
        <v>135</v>
      </c>
      <c r="AG83" s="11" t="s">
        <v>407</v>
      </c>
      <c r="AH83" t="str">
        <f>IF(AE83="","",AE83)</f>
        <v>number (2 NK)</v>
      </c>
      <c r="AJ83" t="str">
        <f t="shared" si="3"/>
        <v/>
      </c>
      <c r="AL83" t="s">
        <v>407</v>
      </c>
    </row>
    <row r="84" spans="2:38" x14ac:dyDescent="0.35">
      <c r="D84" s="18" t="s">
        <v>136</v>
      </c>
      <c r="E84" s="18"/>
      <c r="I84" s="1"/>
      <c r="J84" s="35" t="s">
        <v>45</v>
      </c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11" t="s">
        <v>136</v>
      </c>
      <c r="AE84" s="11" t="s">
        <v>121</v>
      </c>
      <c r="AF84" s="11" t="s">
        <v>137</v>
      </c>
      <c r="AG84" s="11" t="s">
        <v>408</v>
      </c>
      <c r="AH84" t="str">
        <f>IF(AE84="","",AE84)</f>
        <v>number (2 NK)</v>
      </c>
      <c r="AJ84" t="str">
        <f t="shared" si="3"/>
        <v/>
      </c>
      <c r="AL84" t="s">
        <v>408</v>
      </c>
    </row>
    <row r="85" spans="2:38" ht="21" x14ac:dyDescent="0.5">
      <c r="D85" s="15" t="s">
        <v>138</v>
      </c>
      <c r="I85" s="8" t="s">
        <v>139</v>
      </c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40"/>
      <c r="W85" s="38"/>
      <c r="X85" s="38"/>
      <c r="Y85" s="38"/>
      <c r="Z85" s="38"/>
      <c r="AA85" s="38"/>
      <c r="AB85" s="38"/>
      <c r="AC85" s="38"/>
      <c r="AJ85" t="str">
        <f t="shared" si="3"/>
        <v/>
      </c>
    </row>
    <row r="86" spans="2:38" x14ac:dyDescent="0.35">
      <c r="D86" s="18"/>
      <c r="E86" s="18" t="s">
        <v>140</v>
      </c>
      <c r="I86" s="1"/>
      <c r="J86" s="36"/>
      <c r="K86" s="36"/>
      <c r="L86" s="36"/>
      <c r="M86" s="36"/>
      <c r="N86" s="36"/>
      <c r="O86" s="36"/>
      <c r="P86" s="36"/>
      <c r="Q86" s="36"/>
      <c r="R86" s="36"/>
      <c r="S86" s="35" t="s">
        <v>45</v>
      </c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11" t="s">
        <v>140</v>
      </c>
      <c r="AE86" s="11" t="s">
        <v>71</v>
      </c>
      <c r="AF86" s="11" t="s">
        <v>140</v>
      </c>
      <c r="AG86" s="11" t="s">
        <v>141</v>
      </c>
      <c r="AH86" t="str">
        <f>IF(AE86="","",AE86)</f>
        <v>string (3)</v>
      </c>
      <c r="AJ86" t="str">
        <f t="shared" si="3"/>
        <v/>
      </c>
    </row>
    <row r="87" spans="2:38" x14ac:dyDescent="0.35">
      <c r="D87" s="18"/>
      <c r="E87" s="18" t="s">
        <v>142</v>
      </c>
      <c r="I87" s="1"/>
      <c r="J87" s="36"/>
      <c r="K87" s="36"/>
      <c r="L87" s="36"/>
      <c r="M87" s="36"/>
      <c r="N87" s="36"/>
      <c r="O87" s="36"/>
      <c r="P87" s="36"/>
      <c r="Q87" s="36"/>
      <c r="R87" s="36"/>
      <c r="S87" s="35" t="s">
        <v>45</v>
      </c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11" t="s">
        <v>142</v>
      </c>
      <c r="AE87" s="11" t="s">
        <v>121</v>
      </c>
      <c r="AF87" s="11" t="s">
        <v>142</v>
      </c>
      <c r="AG87" s="11" t="s">
        <v>143</v>
      </c>
      <c r="AH87" t="str">
        <f>IF(AE87="","",AE87)</f>
        <v>number (2 NK)</v>
      </c>
      <c r="AJ87" t="str">
        <f t="shared" si="3"/>
        <v/>
      </c>
    </row>
    <row r="88" spans="2:38" ht="21" x14ac:dyDescent="0.5">
      <c r="D88" s="15" t="s">
        <v>144</v>
      </c>
      <c r="I88" s="8" t="s">
        <v>145</v>
      </c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40"/>
      <c r="W88" s="38"/>
      <c r="X88" s="38"/>
      <c r="Y88" s="38"/>
      <c r="Z88" s="38"/>
      <c r="AA88" s="38"/>
      <c r="AB88" s="38"/>
      <c r="AC88" s="38"/>
      <c r="AJ88" t="str">
        <f t="shared" si="3"/>
        <v/>
      </c>
    </row>
    <row r="89" spans="2:38" x14ac:dyDescent="0.35">
      <c r="E89" t="s">
        <v>147</v>
      </c>
      <c r="J89" s="36"/>
      <c r="K89" s="36"/>
      <c r="L89" s="36"/>
      <c r="M89" s="36"/>
      <c r="N89" s="36"/>
      <c r="O89" s="36"/>
      <c r="P89" s="36"/>
      <c r="Q89" s="36"/>
      <c r="R89" s="35" t="s">
        <v>45</v>
      </c>
      <c r="S89" s="36"/>
      <c r="T89" s="36"/>
      <c r="U89" s="36"/>
      <c r="V89" s="37"/>
      <c r="W89" s="36"/>
      <c r="X89" s="36"/>
      <c r="Y89" s="36"/>
      <c r="Z89" s="36"/>
      <c r="AA89" s="36"/>
      <c r="AB89" s="36"/>
      <c r="AC89" s="36"/>
      <c r="AD89" s="11" t="s">
        <v>147</v>
      </c>
      <c r="AE89" s="11" t="s">
        <v>52</v>
      </c>
      <c r="AF89" s="11" t="s">
        <v>147</v>
      </c>
      <c r="AG89" s="11" t="s">
        <v>148</v>
      </c>
      <c r="AH89" t="str">
        <f>IF(AE89="","",AE89)</f>
        <v>string (25)</v>
      </c>
      <c r="AJ89" t="str">
        <f t="shared" si="3"/>
        <v/>
      </c>
      <c r="AK89" s="32" t="s">
        <v>337</v>
      </c>
    </row>
    <row r="90" spans="2:38" x14ac:dyDescent="0.35">
      <c r="E90" t="s">
        <v>57</v>
      </c>
      <c r="J90" s="36"/>
      <c r="K90" s="36"/>
      <c r="L90" s="36"/>
      <c r="M90" s="36"/>
      <c r="N90" s="36"/>
      <c r="O90" s="36"/>
      <c r="P90" s="36"/>
      <c r="Q90" s="36"/>
      <c r="R90" s="36" t="s">
        <v>45</v>
      </c>
      <c r="S90" s="36"/>
      <c r="T90" s="36"/>
      <c r="U90" s="36"/>
      <c r="V90" s="37"/>
      <c r="W90" s="36"/>
      <c r="X90" s="36"/>
      <c r="Y90" s="36"/>
      <c r="Z90" s="36"/>
      <c r="AA90" s="36"/>
      <c r="AB90" s="36"/>
      <c r="AC90" s="36"/>
      <c r="AD90" s="11" t="s">
        <v>57</v>
      </c>
      <c r="AE90" s="11" t="s">
        <v>345</v>
      </c>
      <c r="AF90" s="11" t="s">
        <v>57</v>
      </c>
      <c r="AG90" s="11" t="s">
        <v>146</v>
      </c>
      <c r="AH90" t="str">
        <f>IF(AE90="","",AE90)</f>
        <v>string (60)</v>
      </c>
      <c r="AJ90" t="str">
        <f t="shared" si="3"/>
        <v/>
      </c>
    </row>
    <row r="91" spans="2:38" x14ac:dyDescent="0.35">
      <c r="E91" t="s">
        <v>142</v>
      </c>
      <c r="J91" s="36"/>
      <c r="K91" s="36"/>
      <c r="L91" s="36"/>
      <c r="M91" s="36"/>
      <c r="N91" s="36"/>
      <c r="O91" s="36"/>
      <c r="P91" s="36"/>
      <c r="Q91" s="36"/>
      <c r="R91" s="35" t="s">
        <v>45</v>
      </c>
      <c r="S91" s="36"/>
      <c r="T91" s="36"/>
      <c r="U91" s="36"/>
      <c r="V91" s="37"/>
      <c r="W91" s="36"/>
      <c r="X91" s="36"/>
      <c r="Y91" s="36"/>
      <c r="Z91" s="36"/>
      <c r="AA91" s="36"/>
      <c r="AB91" s="36"/>
      <c r="AC91" s="36"/>
      <c r="AD91" s="11" t="s">
        <v>142</v>
      </c>
      <c r="AE91" s="11" t="s">
        <v>121</v>
      </c>
      <c r="AF91" s="11" t="s">
        <v>142</v>
      </c>
      <c r="AG91" s="11" t="s">
        <v>409</v>
      </c>
      <c r="AH91" t="str">
        <f>IF(AE91="","",AE91)</f>
        <v>number (2 NK)</v>
      </c>
      <c r="AJ91" t="str">
        <f t="shared" si="3"/>
        <v/>
      </c>
      <c r="AL91" t="s">
        <v>409</v>
      </c>
    </row>
    <row r="92" spans="2:38" ht="23.5" x14ac:dyDescent="0.55000000000000004">
      <c r="B92" s="13" t="s">
        <v>10</v>
      </c>
      <c r="I92" s="8" t="s">
        <v>149</v>
      </c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40"/>
      <c r="W92" s="38"/>
      <c r="X92" s="38"/>
      <c r="Y92" s="38"/>
      <c r="Z92" s="38"/>
      <c r="AA92" s="38"/>
      <c r="AB92" s="38"/>
      <c r="AC92" s="38"/>
      <c r="AJ92" t="str">
        <f t="shared" si="3"/>
        <v/>
      </c>
    </row>
    <row r="93" spans="2:38" ht="21" x14ac:dyDescent="0.5">
      <c r="C93" s="15" t="s">
        <v>50</v>
      </c>
      <c r="I93" s="14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9"/>
      <c r="W93" s="38"/>
      <c r="X93" s="38"/>
      <c r="Y93" s="38"/>
      <c r="Z93" s="38"/>
      <c r="AA93" s="38"/>
      <c r="AB93" s="38"/>
      <c r="AC93" s="38"/>
      <c r="AJ93" t="str">
        <f t="shared" si="3"/>
        <v/>
      </c>
    </row>
    <row r="94" spans="2:38" x14ac:dyDescent="0.35">
      <c r="D94" t="s">
        <v>43</v>
      </c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8"/>
      <c r="U94" s="35" t="s">
        <v>45</v>
      </c>
      <c r="V94" s="37"/>
      <c r="W94" s="36"/>
      <c r="X94" s="36"/>
      <c r="Y94" s="36"/>
      <c r="Z94" s="36"/>
      <c r="AA94" s="36"/>
      <c r="AB94" s="36"/>
      <c r="AC94" s="36"/>
      <c r="AD94" s="11" t="s">
        <v>43</v>
      </c>
      <c r="AE94" s="11" t="s">
        <v>46</v>
      </c>
      <c r="AF94" s="11" t="s">
        <v>43</v>
      </c>
      <c r="AG94" s="11" t="s">
        <v>158</v>
      </c>
      <c r="AH94" t="str">
        <f>IF(AE94="","",AE94)</f>
        <v>number (0 NK)</v>
      </c>
      <c r="AJ94" t="str">
        <f t="shared" si="3"/>
        <v/>
      </c>
    </row>
    <row r="95" spans="2:38" x14ac:dyDescent="0.35">
      <c r="D95" t="s">
        <v>147</v>
      </c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8"/>
      <c r="U95" s="35" t="s">
        <v>45</v>
      </c>
      <c r="V95" s="37"/>
      <c r="W95" s="36"/>
      <c r="X95" s="36"/>
      <c r="Y95" s="36"/>
      <c r="Z95" s="36"/>
      <c r="AA95" s="36"/>
      <c r="AB95" s="36"/>
      <c r="AC95" s="36"/>
      <c r="AD95" s="11" t="s">
        <v>147</v>
      </c>
      <c r="AE95" s="11" t="s">
        <v>350</v>
      </c>
      <c r="AF95" s="11" t="s">
        <v>147</v>
      </c>
      <c r="AG95" s="11" t="s">
        <v>150</v>
      </c>
      <c r="AH95" t="str">
        <f>IF(AE95="","",AE95)</f>
        <v>string (30)</v>
      </c>
      <c r="AJ95" t="str">
        <f t="shared" si="3"/>
        <v/>
      </c>
      <c r="AK95" s="32" t="s">
        <v>336</v>
      </c>
    </row>
    <row r="96" spans="2:38" x14ac:dyDescent="0.35">
      <c r="D96" t="s">
        <v>57</v>
      </c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8"/>
      <c r="U96" s="36" t="s">
        <v>45</v>
      </c>
      <c r="V96" s="37"/>
      <c r="W96" s="36"/>
      <c r="X96" s="36"/>
      <c r="Y96" s="36"/>
      <c r="Z96" s="36"/>
      <c r="AA96" s="36"/>
      <c r="AB96" s="36"/>
      <c r="AC96" s="36"/>
      <c r="AD96" s="11" t="s">
        <v>57</v>
      </c>
      <c r="AE96" s="11" t="s">
        <v>345</v>
      </c>
      <c r="AF96" t="s">
        <v>302</v>
      </c>
      <c r="AG96" s="11" t="s">
        <v>328</v>
      </c>
      <c r="AH96" t="str">
        <f>IF(AE96="","",AE96)</f>
        <v>string (60)</v>
      </c>
      <c r="AJ96" t="str">
        <f t="shared" si="3"/>
        <v/>
      </c>
      <c r="AK96" s="32" t="s">
        <v>335</v>
      </c>
    </row>
    <row r="97" spans="4:37" ht="21" x14ac:dyDescent="0.5">
      <c r="D97" s="15" t="s">
        <v>299</v>
      </c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8"/>
      <c r="U97" s="36"/>
      <c r="V97" s="37"/>
      <c r="W97" s="36"/>
      <c r="X97" s="36"/>
      <c r="Y97" s="36"/>
      <c r="Z97" s="36"/>
      <c r="AA97" s="36"/>
      <c r="AB97" s="36"/>
      <c r="AC97" s="36"/>
      <c r="AD97" s="11"/>
      <c r="AE97" s="11"/>
      <c r="AF97" s="11"/>
      <c r="AG97" s="11"/>
      <c r="AJ97" t="str">
        <f t="shared" si="3"/>
        <v/>
      </c>
    </row>
    <row r="98" spans="4:37" x14ac:dyDescent="0.35">
      <c r="E98" t="s">
        <v>89</v>
      </c>
      <c r="H98" s="30" t="s">
        <v>311</v>
      </c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8"/>
      <c r="U98" s="36"/>
      <c r="V98" s="37"/>
      <c r="W98" s="36"/>
      <c r="X98" s="36"/>
      <c r="Y98" s="36"/>
      <c r="Z98" s="36"/>
      <c r="AA98" s="36"/>
      <c r="AB98" s="36"/>
      <c r="AC98" s="36"/>
      <c r="AD98" s="11"/>
      <c r="AE98" s="11"/>
      <c r="AF98" s="11"/>
      <c r="AG98" s="11"/>
      <c r="AJ98" t="str">
        <f t="shared" si="3"/>
        <v/>
      </c>
    </row>
    <row r="99" spans="4:37" x14ac:dyDescent="0.35">
      <c r="E99" t="s">
        <v>99</v>
      </c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8"/>
      <c r="U99" s="36" t="s">
        <v>45</v>
      </c>
      <c r="V99" s="37"/>
      <c r="W99" s="36"/>
      <c r="X99" s="36"/>
      <c r="Y99" s="36"/>
      <c r="Z99" s="36"/>
      <c r="AA99" s="36"/>
      <c r="AB99" s="36"/>
      <c r="AC99" s="36"/>
      <c r="AD99" s="11" t="s">
        <v>152</v>
      </c>
      <c r="AE99" s="11" t="s">
        <v>344</v>
      </c>
      <c r="AF99" s="11" t="s">
        <v>152</v>
      </c>
      <c r="AG99" s="11" t="s">
        <v>100</v>
      </c>
      <c r="AH99" t="s">
        <v>343</v>
      </c>
      <c r="AJ99" t="str">
        <f t="shared" si="3"/>
        <v>x</v>
      </c>
    </row>
    <row r="100" spans="4:37" x14ac:dyDescent="0.35">
      <c r="D100" t="s">
        <v>153</v>
      </c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8"/>
      <c r="U100" s="36" t="s">
        <v>45</v>
      </c>
      <c r="V100" s="37"/>
      <c r="W100" s="36"/>
      <c r="X100" s="36"/>
      <c r="Y100" s="36"/>
      <c r="Z100" s="36"/>
      <c r="AA100" s="36"/>
      <c r="AB100" s="36"/>
      <c r="AC100" s="36"/>
      <c r="AD100" s="11" t="s">
        <v>153</v>
      </c>
      <c r="AE100" s="11" t="s">
        <v>154</v>
      </c>
      <c r="AF100" s="11" t="s">
        <v>153</v>
      </c>
      <c r="AG100" s="11" t="s">
        <v>155</v>
      </c>
      <c r="AH100" t="s">
        <v>156</v>
      </c>
      <c r="AJ100" t="str">
        <f t="shared" si="3"/>
        <v>x</v>
      </c>
    </row>
    <row r="101" spans="4:37" x14ac:dyDescent="0.35">
      <c r="D101" t="s">
        <v>313</v>
      </c>
      <c r="H101" t="s">
        <v>44</v>
      </c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5" t="s">
        <v>45</v>
      </c>
      <c r="U101" s="35" t="s">
        <v>45</v>
      </c>
      <c r="V101" s="35" t="s">
        <v>45</v>
      </c>
      <c r="W101" s="35" t="s">
        <v>45</v>
      </c>
      <c r="X101" s="35" t="s">
        <v>45</v>
      </c>
      <c r="Y101" s="35" t="s">
        <v>45</v>
      </c>
      <c r="Z101" s="35" t="s">
        <v>45</v>
      </c>
      <c r="AA101" s="35" t="s">
        <v>45</v>
      </c>
      <c r="AB101" s="35" t="s">
        <v>45</v>
      </c>
      <c r="AC101" s="35" t="s">
        <v>45</v>
      </c>
      <c r="AD101" s="11" t="s">
        <v>313</v>
      </c>
      <c r="AE101" s="11" t="s">
        <v>342</v>
      </c>
      <c r="AF101" s="11" t="s">
        <v>157</v>
      </c>
      <c r="AG101" s="11" t="s">
        <v>323</v>
      </c>
      <c r="AH101" t="str">
        <f>IF(AE101="","",AE101)</f>
        <v>string (40)</v>
      </c>
      <c r="AI101" s="12"/>
      <c r="AJ101" t="str">
        <f t="shared" si="3"/>
        <v/>
      </c>
    </row>
    <row r="102" spans="4:37" x14ac:dyDescent="0.35">
      <c r="D102" t="s">
        <v>159</v>
      </c>
      <c r="H102" t="s">
        <v>392</v>
      </c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8"/>
      <c r="U102" s="35" t="s">
        <v>45</v>
      </c>
      <c r="V102" s="37"/>
      <c r="W102" s="36"/>
      <c r="X102" s="36"/>
      <c r="Y102" s="36"/>
      <c r="Z102" s="36"/>
      <c r="AA102" s="36"/>
      <c r="AB102" s="36"/>
      <c r="AC102" s="36"/>
      <c r="AD102" s="11" t="s">
        <v>159</v>
      </c>
      <c r="AE102" s="11" t="s">
        <v>52</v>
      </c>
      <c r="AF102" s="11" t="s">
        <v>159</v>
      </c>
      <c r="AG102" s="11" t="s">
        <v>160</v>
      </c>
      <c r="AH102" t="s">
        <v>443</v>
      </c>
      <c r="AJ102" t="str">
        <f t="shared" si="3"/>
        <v>x</v>
      </c>
    </row>
    <row r="103" spans="4:37" x14ac:dyDescent="0.35">
      <c r="D103" t="s">
        <v>161</v>
      </c>
      <c r="H103" t="s">
        <v>392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8"/>
      <c r="U103" s="35" t="s">
        <v>45</v>
      </c>
      <c r="V103" s="37"/>
      <c r="W103" s="36"/>
      <c r="X103" s="36"/>
      <c r="Y103" s="36"/>
      <c r="Z103" s="36"/>
      <c r="AA103" s="36"/>
      <c r="AB103" s="36"/>
      <c r="AC103" s="36"/>
      <c r="AD103" s="11" t="s">
        <v>161</v>
      </c>
      <c r="AE103" s="11" t="s">
        <v>52</v>
      </c>
      <c r="AF103" s="11" t="s">
        <v>161</v>
      </c>
      <c r="AG103" s="11" t="s">
        <v>162</v>
      </c>
      <c r="AH103" t="s">
        <v>443</v>
      </c>
      <c r="AJ103" t="str">
        <f t="shared" si="3"/>
        <v>x</v>
      </c>
    </row>
    <row r="104" spans="4:37" ht="21" x14ac:dyDescent="0.5">
      <c r="D104" s="15" t="s">
        <v>163</v>
      </c>
      <c r="I104" s="14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9"/>
      <c r="W104" s="38"/>
      <c r="X104" s="38"/>
      <c r="Y104" s="38"/>
      <c r="Z104" s="38"/>
      <c r="AA104" s="38"/>
      <c r="AB104" s="38"/>
      <c r="AC104" s="38"/>
      <c r="AJ104" t="str">
        <f t="shared" si="3"/>
        <v/>
      </c>
    </row>
    <row r="105" spans="4:37" x14ac:dyDescent="0.35">
      <c r="E105" t="s">
        <v>89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8"/>
      <c r="U105" s="35" t="s">
        <v>45</v>
      </c>
      <c r="V105" s="37"/>
      <c r="W105" s="36"/>
      <c r="X105" s="36"/>
      <c r="Y105" s="36"/>
      <c r="Z105" s="36"/>
      <c r="AA105" s="36"/>
      <c r="AB105" s="36"/>
      <c r="AC105" s="36"/>
      <c r="AD105" s="11" t="s">
        <v>89</v>
      </c>
      <c r="AE105" s="11" t="s">
        <v>344</v>
      </c>
      <c r="AF105" s="11" t="s">
        <v>164</v>
      </c>
      <c r="AG105" s="11" t="s">
        <v>165</v>
      </c>
      <c r="AH105" t="s">
        <v>343</v>
      </c>
      <c r="AJ105" t="str">
        <f t="shared" si="3"/>
        <v>x</v>
      </c>
    </row>
    <row r="106" spans="4:37" x14ac:dyDescent="0.35">
      <c r="E106" t="s">
        <v>57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8"/>
      <c r="U106" s="36" t="s">
        <v>45</v>
      </c>
      <c r="V106" s="37"/>
      <c r="W106" s="36"/>
      <c r="X106" s="36"/>
      <c r="Y106" s="36"/>
      <c r="Z106" s="36"/>
      <c r="AA106" s="36"/>
      <c r="AB106" s="36"/>
      <c r="AC106" s="36"/>
      <c r="AD106" s="11" t="s">
        <v>57</v>
      </c>
      <c r="AE106" s="11" t="s">
        <v>344</v>
      </c>
      <c r="AF106" s="11" t="s">
        <v>166</v>
      </c>
      <c r="AG106" s="11" t="s">
        <v>167</v>
      </c>
      <c r="AH106" t="s">
        <v>343</v>
      </c>
      <c r="AJ106" t="str">
        <f t="shared" si="3"/>
        <v>x</v>
      </c>
    </row>
    <row r="107" spans="4:37" ht="21" x14ac:dyDescent="0.5">
      <c r="D107" s="15" t="s">
        <v>168</v>
      </c>
      <c r="I107" s="14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9"/>
      <c r="W107" s="38"/>
      <c r="X107" s="38"/>
      <c r="Y107" s="38"/>
      <c r="Z107" s="38"/>
      <c r="AA107" s="38"/>
      <c r="AB107" s="38"/>
      <c r="AC107" s="38"/>
      <c r="AJ107" t="str">
        <f t="shared" si="3"/>
        <v/>
      </c>
    </row>
    <row r="108" spans="4:37" x14ac:dyDescent="0.35">
      <c r="E108" t="s">
        <v>57</v>
      </c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8"/>
      <c r="U108" s="35" t="s">
        <v>45</v>
      </c>
      <c r="V108" s="37"/>
      <c r="W108" s="36"/>
      <c r="X108" s="36"/>
      <c r="Y108" s="36"/>
      <c r="Z108" s="36"/>
      <c r="AA108" s="36"/>
      <c r="AB108" s="36"/>
      <c r="AC108" s="36"/>
      <c r="AD108" s="11" t="s">
        <v>57</v>
      </c>
      <c r="AE108" s="11" t="s">
        <v>344</v>
      </c>
      <c r="AF108" s="11" t="s">
        <v>169</v>
      </c>
      <c r="AG108" s="11" t="s">
        <v>170</v>
      </c>
      <c r="AH108" t="s">
        <v>343</v>
      </c>
      <c r="AJ108" t="str">
        <f t="shared" si="3"/>
        <v>x</v>
      </c>
    </row>
    <row r="109" spans="4:37" x14ac:dyDescent="0.35">
      <c r="E109" t="s">
        <v>89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8"/>
      <c r="U109" s="35" t="s">
        <v>45</v>
      </c>
      <c r="V109" s="37"/>
      <c r="W109" s="36"/>
      <c r="X109" s="36"/>
      <c r="Y109" s="36"/>
      <c r="Z109" s="36"/>
      <c r="AA109" s="36"/>
      <c r="AB109" s="36"/>
      <c r="AC109" s="36"/>
      <c r="AD109" s="11" t="s">
        <v>89</v>
      </c>
      <c r="AE109" s="11" t="s">
        <v>344</v>
      </c>
      <c r="AF109" s="11" t="s">
        <v>171</v>
      </c>
      <c r="AG109" s="11" t="s">
        <v>172</v>
      </c>
      <c r="AH109" t="s">
        <v>343</v>
      </c>
      <c r="AJ109" t="str">
        <f t="shared" si="3"/>
        <v>x</v>
      </c>
    </row>
    <row r="110" spans="4:37" x14ac:dyDescent="0.35">
      <c r="E110" t="s">
        <v>147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8"/>
      <c r="U110" s="35" t="s">
        <v>45</v>
      </c>
      <c r="V110" s="37"/>
      <c r="W110" s="36"/>
      <c r="X110" s="36"/>
      <c r="Y110" s="36"/>
      <c r="Z110" s="36"/>
      <c r="AA110" s="36"/>
      <c r="AB110" s="36"/>
      <c r="AC110" s="36"/>
      <c r="AD110" s="11" t="s">
        <v>147</v>
      </c>
      <c r="AE110" s="11" t="s">
        <v>344</v>
      </c>
      <c r="AF110" s="11" t="s">
        <v>147</v>
      </c>
      <c r="AG110" s="11" t="s">
        <v>298</v>
      </c>
      <c r="AH110" t="s">
        <v>343</v>
      </c>
      <c r="AJ110" t="str">
        <f t="shared" si="3"/>
        <v>x</v>
      </c>
    </row>
    <row r="111" spans="4:37" ht="21" x14ac:dyDescent="0.5">
      <c r="E111" s="15" t="s">
        <v>60</v>
      </c>
      <c r="I111" s="14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9"/>
      <c r="W111" s="38"/>
      <c r="X111" s="38"/>
      <c r="Y111" s="38"/>
      <c r="Z111" s="38"/>
      <c r="AA111" s="38"/>
      <c r="AB111" s="38"/>
      <c r="AC111" s="38"/>
      <c r="AJ111" t="str">
        <f t="shared" si="3"/>
        <v/>
      </c>
    </row>
    <row r="112" spans="4:37" x14ac:dyDescent="0.35">
      <c r="F112" t="s">
        <v>61</v>
      </c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8"/>
      <c r="U112" s="36" t="s">
        <v>45</v>
      </c>
      <c r="V112" s="37"/>
      <c r="W112" s="36"/>
      <c r="X112" s="36"/>
      <c r="Y112" s="36"/>
      <c r="Z112" s="36"/>
      <c r="AA112" s="36"/>
      <c r="AB112" s="36"/>
      <c r="AC112" s="36"/>
      <c r="AD112" s="11" t="s">
        <v>61</v>
      </c>
      <c r="AE112" s="11" t="s">
        <v>345</v>
      </c>
      <c r="AF112" s="11" t="s">
        <v>173</v>
      </c>
      <c r="AG112" s="11" t="s">
        <v>174</v>
      </c>
      <c r="AH112" t="str">
        <f t="shared" ref="AH112:AH131" si="4">IF(AE112="","",AE112)</f>
        <v>string (60)</v>
      </c>
      <c r="AJ112" t="str">
        <f t="shared" si="3"/>
        <v/>
      </c>
      <c r="AK112" s="34" t="s">
        <v>335</v>
      </c>
    </row>
    <row r="113" spans="3:37" x14ac:dyDescent="0.35">
      <c r="F113" t="s">
        <v>64</v>
      </c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8"/>
      <c r="U113" s="36" t="s">
        <v>45</v>
      </c>
      <c r="V113" s="37"/>
      <c r="W113" s="36"/>
      <c r="X113" s="36"/>
      <c r="Y113" s="36"/>
      <c r="Z113" s="36"/>
      <c r="AA113" s="36"/>
      <c r="AB113" s="36"/>
      <c r="AC113" s="36"/>
      <c r="AD113" s="11" t="s">
        <v>64</v>
      </c>
      <c r="AE113" s="11" t="s">
        <v>346</v>
      </c>
      <c r="AF113" s="11" t="s">
        <v>175</v>
      </c>
      <c r="AG113" s="11" t="s">
        <v>176</v>
      </c>
      <c r="AH113" t="str">
        <f t="shared" si="4"/>
        <v>string (10)</v>
      </c>
      <c r="AJ113" t="str">
        <f t="shared" si="3"/>
        <v/>
      </c>
    </row>
    <row r="114" spans="3:37" x14ac:dyDescent="0.35">
      <c r="F114" t="s">
        <v>67</v>
      </c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8"/>
      <c r="U114" s="36" t="s">
        <v>45</v>
      </c>
      <c r="V114" s="37"/>
      <c r="W114" s="36"/>
      <c r="X114" s="36"/>
      <c r="Y114" s="36"/>
      <c r="Z114" s="36"/>
      <c r="AA114" s="36"/>
      <c r="AB114" s="36"/>
      <c r="AC114" s="36"/>
      <c r="AD114" s="11" t="s">
        <v>67</v>
      </c>
      <c r="AE114" s="11" t="s">
        <v>347</v>
      </c>
      <c r="AF114" s="11" t="s">
        <v>177</v>
      </c>
      <c r="AG114" s="11" t="s">
        <v>178</v>
      </c>
      <c r="AH114" t="str">
        <f t="shared" si="4"/>
        <v>string (62)</v>
      </c>
      <c r="AJ114" t="str">
        <f t="shared" si="3"/>
        <v/>
      </c>
    </row>
    <row r="115" spans="3:37" x14ac:dyDescent="0.35">
      <c r="F115" t="s">
        <v>70</v>
      </c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8"/>
      <c r="U115" s="36" t="s">
        <v>45</v>
      </c>
      <c r="V115" s="37"/>
      <c r="W115" s="36"/>
      <c r="X115" s="36"/>
      <c r="Y115" s="36"/>
      <c r="Z115" s="36"/>
      <c r="AA115" s="36"/>
      <c r="AB115" s="36"/>
      <c r="AC115" s="36"/>
      <c r="AD115" s="11" t="s">
        <v>70</v>
      </c>
      <c r="AE115" s="11" t="s">
        <v>71</v>
      </c>
      <c r="AF115" s="11" t="s">
        <v>179</v>
      </c>
      <c r="AG115" s="11" t="s">
        <v>180</v>
      </c>
      <c r="AH115" t="str">
        <f t="shared" si="4"/>
        <v>string (3)</v>
      </c>
      <c r="AJ115" t="str">
        <f t="shared" si="3"/>
        <v/>
      </c>
    </row>
    <row r="116" spans="3:37" x14ac:dyDescent="0.35">
      <c r="E116" t="s">
        <v>77</v>
      </c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8"/>
      <c r="U116" s="36" t="s">
        <v>45</v>
      </c>
      <c r="V116" s="37"/>
      <c r="W116" s="36"/>
      <c r="X116" s="36"/>
      <c r="Y116" s="36"/>
      <c r="Z116" s="36"/>
      <c r="AA116" s="36"/>
      <c r="AB116" s="36"/>
      <c r="AC116" s="36"/>
      <c r="AD116" s="11" t="s">
        <v>77</v>
      </c>
      <c r="AE116" s="11" t="s">
        <v>349</v>
      </c>
      <c r="AF116" s="11" t="s">
        <v>181</v>
      </c>
      <c r="AG116" s="11" t="s">
        <v>182</v>
      </c>
      <c r="AH116" t="str">
        <f t="shared" si="4"/>
        <v>string (15)</v>
      </c>
      <c r="AJ116" t="str">
        <f t="shared" si="3"/>
        <v/>
      </c>
    </row>
    <row r="117" spans="3:37" ht="21" x14ac:dyDescent="0.5">
      <c r="C117" s="15" t="s">
        <v>317</v>
      </c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7"/>
      <c r="W117" s="36"/>
      <c r="X117" s="36"/>
      <c r="Y117" s="36"/>
      <c r="Z117" s="36"/>
      <c r="AA117" s="36"/>
      <c r="AB117" s="36"/>
      <c r="AC117" s="36"/>
      <c r="AD117" s="11"/>
      <c r="AE117" s="11"/>
      <c r="AF117" s="11"/>
      <c r="AG117" s="11"/>
      <c r="AJ117" t="str">
        <f>IF(AH117&lt;&gt;AE117,"x","")</f>
        <v/>
      </c>
    </row>
    <row r="118" spans="3:37" x14ac:dyDescent="0.35">
      <c r="D118" t="s">
        <v>147</v>
      </c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7"/>
      <c r="W118" s="36"/>
      <c r="X118" s="36"/>
      <c r="Y118" s="36"/>
      <c r="Z118" s="36"/>
      <c r="AA118" s="36"/>
      <c r="AB118" s="36"/>
      <c r="AC118" s="35" t="s">
        <v>45</v>
      </c>
      <c r="AD118" s="11" t="s">
        <v>147</v>
      </c>
      <c r="AE118" s="11" t="s">
        <v>348</v>
      </c>
      <c r="AF118" s="11"/>
      <c r="AG118" s="11" t="s">
        <v>319</v>
      </c>
      <c r="AH118" t="str">
        <f>IF(AE118="","",AE118)</f>
        <v>string (20)</v>
      </c>
      <c r="AJ118" t="str">
        <f>IF(AH118&lt;&gt;AE118,"x","")</f>
        <v/>
      </c>
    </row>
    <row r="119" spans="3:37" x14ac:dyDescent="0.35">
      <c r="D119" t="s">
        <v>57</v>
      </c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7"/>
      <c r="W119" s="36"/>
      <c r="X119" s="36"/>
      <c r="Y119" s="36"/>
      <c r="Z119" s="36"/>
      <c r="AA119" s="36"/>
      <c r="AB119" s="36"/>
      <c r="AC119" s="43" t="s">
        <v>45</v>
      </c>
      <c r="AD119" s="11" t="s">
        <v>57</v>
      </c>
      <c r="AE119" s="11" t="s">
        <v>342</v>
      </c>
      <c r="AF119" s="11"/>
      <c r="AG119" s="11" t="s">
        <v>333</v>
      </c>
      <c r="AH119" t="str">
        <f>IF(AE119="","",AE119)</f>
        <v>string (40)</v>
      </c>
      <c r="AJ119" t="str">
        <f>IF(AH119&lt;&gt;AE119,"x","")</f>
        <v/>
      </c>
      <c r="AK119" s="32" t="s">
        <v>338</v>
      </c>
    </row>
    <row r="120" spans="3:37" x14ac:dyDescent="0.35">
      <c r="D120" t="s">
        <v>307</v>
      </c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7"/>
      <c r="W120" s="36"/>
      <c r="X120" s="36"/>
      <c r="Y120" s="36"/>
      <c r="Z120" s="36"/>
      <c r="AA120" s="36"/>
      <c r="AB120" s="36"/>
      <c r="AC120" s="43" t="s">
        <v>45</v>
      </c>
      <c r="AD120" s="11" t="s">
        <v>307</v>
      </c>
      <c r="AE120" s="11" t="s">
        <v>52</v>
      </c>
      <c r="AF120" s="11"/>
      <c r="AG120" s="11" t="s">
        <v>320</v>
      </c>
      <c r="AH120" t="s">
        <v>443</v>
      </c>
      <c r="AJ120" t="str">
        <f>IF(AH120&lt;&gt;AE120,"x","")</f>
        <v>x</v>
      </c>
    </row>
    <row r="121" spans="3:37" x14ac:dyDescent="0.35">
      <c r="D121" t="s">
        <v>196</v>
      </c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7"/>
      <c r="W121" s="36"/>
      <c r="X121" s="36"/>
      <c r="Y121" s="36"/>
      <c r="Z121" s="36"/>
      <c r="AA121" s="36"/>
      <c r="AB121" s="36"/>
      <c r="AC121" s="43" t="s">
        <v>45</v>
      </c>
      <c r="AD121" s="11" t="s">
        <v>196</v>
      </c>
      <c r="AE121" s="11" t="s">
        <v>343</v>
      </c>
      <c r="AF121" s="11"/>
      <c r="AG121" s="11" t="s">
        <v>341</v>
      </c>
      <c r="AH121" t="str">
        <f>IF(AE121="","",AE121)</f>
        <v>string (50)</v>
      </c>
      <c r="AJ121" t="str">
        <f>IF(AH121&lt;&gt;AE121,"x","")</f>
        <v/>
      </c>
    </row>
    <row r="122" spans="3:37" x14ac:dyDescent="0.35">
      <c r="D122" t="s">
        <v>318</v>
      </c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7"/>
      <c r="W122" s="36"/>
      <c r="X122" s="36"/>
      <c r="Y122" s="36"/>
      <c r="Z122" s="36"/>
      <c r="AA122" s="36"/>
      <c r="AB122" s="36"/>
      <c r="AC122" s="43" t="s">
        <v>45</v>
      </c>
      <c r="AD122" s="11" t="s">
        <v>41</v>
      </c>
      <c r="AE122" s="11" t="s">
        <v>46</v>
      </c>
      <c r="AF122" s="11"/>
      <c r="AG122" s="11" t="s">
        <v>321</v>
      </c>
      <c r="AH122" t="str">
        <f>IF(AE122="","",AE122)</f>
        <v>number (0 NK)</v>
      </c>
      <c r="AJ122" t="str">
        <f>IF(AH122&lt;&gt;AE122,"x","")</f>
        <v/>
      </c>
      <c r="AK122" s="32" t="s">
        <v>339</v>
      </c>
    </row>
    <row r="123" spans="3:37" x14ac:dyDescent="0.35">
      <c r="D123" t="s">
        <v>89</v>
      </c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7"/>
      <c r="W123" s="36"/>
      <c r="X123" s="36"/>
      <c r="Y123" s="36"/>
      <c r="Z123" s="36"/>
      <c r="AA123" s="36"/>
      <c r="AB123" s="36"/>
      <c r="AC123" s="35" t="s">
        <v>45</v>
      </c>
      <c r="AD123" s="11" t="s">
        <v>89</v>
      </c>
      <c r="AE123" s="11" t="s">
        <v>342</v>
      </c>
      <c r="AF123" s="11"/>
      <c r="AG123" s="11" t="s">
        <v>327</v>
      </c>
      <c r="AH123" t="str">
        <f>IF(AE123="","",AE123)</f>
        <v>string (40)</v>
      </c>
      <c r="AJ123" t="str">
        <f>IF(AH123&lt;&gt;AE123,"x","")</f>
        <v/>
      </c>
    </row>
    <row r="124" spans="3:37" x14ac:dyDescent="0.35">
      <c r="C124" t="s">
        <v>17</v>
      </c>
      <c r="I124" s="8" t="s">
        <v>376</v>
      </c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7"/>
      <c r="W124" s="36"/>
      <c r="X124" s="36"/>
      <c r="Y124" s="36"/>
      <c r="Z124" s="36"/>
      <c r="AA124" s="36"/>
      <c r="AB124" s="36" t="s">
        <v>45</v>
      </c>
      <c r="AC124" s="36"/>
      <c r="AD124" s="11" t="s">
        <v>17</v>
      </c>
      <c r="AE124" s="11" t="s">
        <v>344</v>
      </c>
      <c r="AF124" s="11" t="s">
        <v>17</v>
      </c>
      <c r="AG124" s="11" t="s">
        <v>183</v>
      </c>
      <c r="AH124" t="s">
        <v>343</v>
      </c>
      <c r="AJ124" t="str">
        <f t="shared" ref="AJ124" si="5">IF(AH124&lt;&gt;AE124,"x","")</f>
        <v>x</v>
      </c>
    </row>
    <row r="125" spans="3:37" ht="21" x14ac:dyDescent="0.5">
      <c r="C125" s="15" t="s">
        <v>353</v>
      </c>
      <c r="I125" s="8" t="s">
        <v>375</v>
      </c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8"/>
      <c r="U125" s="36"/>
      <c r="V125" s="37"/>
      <c r="W125" s="36"/>
      <c r="X125" s="36"/>
      <c r="Y125" s="36"/>
      <c r="Z125" s="36"/>
      <c r="AA125" s="36"/>
      <c r="AB125" s="36"/>
      <c r="AC125" s="36"/>
      <c r="AD125" s="11"/>
      <c r="AE125" s="11"/>
      <c r="AF125" s="11"/>
      <c r="AG125" s="11"/>
    </row>
    <row r="126" spans="3:37" x14ac:dyDescent="0.35">
      <c r="D126" t="s">
        <v>367</v>
      </c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5" t="s">
        <v>45</v>
      </c>
      <c r="U126" s="36"/>
      <c r="V126" s="37"/>
      <c r="W126" s="36"/>
      <c r="X126" s="36"/>
      <c r="Y126" s="36"/>
      <c r="Z126" s="36"/>
      <c r="AA126" s="36"/>
      <c r="AB126" s="36"/>
      <c r="AC126" s="36"/>
      <c r="AD126" s="11" t="s">
        <v>367</v>
      </c>
      <c r="AE126" s="11" t="s">
        <v>46</v>
      </c>
      <c r="AF126" s="11"/>
      <c r="AG126" s="11" t="s">
        <v>362</v>
      </c>
      <c r="AH126" t="str">
        <f t="shared" si="4"/>
        <v>number (0 NK)</v>
      </c>
    </row>
    <row r="127" spans="3:37" x14ac:dyDescent="0.35">
      <c r="D127" t="s">
        <v>368</v>
      </c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5" t="s">
        <v>45</v>
      </c>
      <c r="U127" s="36"/>
      <c r="V127" s="37"/>
      <c r="W127" s="36"/>
      <c r="X127" s="36"/>
      <c r="Y127" s="36"/>
      <c r="Z127" s="36"/>
      <c r="AA127" s="36"/>
      <c r="AB127" s="36"/>
      <c r="AC127" s="36"/>
      <c r="AD127" s="11" t="s">
        <v>368</v>
      </c>
      <c r="AE127" s="11" t="s">
        <v>46</v>
      </c>
      <c r="AF127" s="11"/>
      <c r="AG127" s="11" t="s">
        <v>383</v>
      </c>
      <c r="AH127" t="str">
        <f t="shared" si="4"/>
        <v>number (0 NK)</v>
      </c>
    </row>
    <row r="128" spans="3:37" x14ac:dyDescent="0.35">
      <c r="D128" t="s">
        <v>369</v>
      </c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5" t="s">
        <v>45</v>
      </c>
      <c r="U128" s="36"/>
      <c r="V128" s="37"/>
      <c r="W128" s="36"/>
      <c r="X128" s="36"/>
      <c r="Y128" s="36"/>
      <c r="Z128" s="36"/>
      <c r="AA128" s="36"/>
      <c r="AB128" s="36"/>
      <c r="AC128" s="36"/>
      <c r="AD128" s="11" t="s">
        <v>369</v>
      </c>
      <c r="AE128" s="11" t="s">
        <v>52</v>
      </c>
      <c r="AF128" s="11"/>
      <c r="AG128" s="11" t="s">
        <v>384</v>
      </c>
      <c r="AH128" t="s">
        <v>443</v>
      </c>
    </row>
    <row r="129" spans="3:38" x14ac:dyDescent="0.35">
      <c r="D129" t="s">
        <v>370</v>
      </c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5" t="s">
        <v>45</v>
      </c>
      <c r="U129" s="36"/>
      <c r="V129" s="37"/>
      <c r="W129" s="36"/>
      <c r="X129" s="36"/>
      <c r="Y129" s="36"/>
      <c r="Z129" s="36"/>
      <c r="AA129" s="36"/>
      <c r="AB129" s="36"/>
      <c r="AC129" s="36"/>
      <c r="AD129" s="11" t="s">
        <v>370</v>
      </c>
      <c r="AE129" s="11" t="s">
        <v>52</v>
      </c>
      <c r="AF129" s="11"/>
      <c r="AG129" s="11" t="s">
        <v>385</v>
      </c>
      <c r="AH129" t="s">
        <v>443</v>
      </c>
    </row>
    <row r="130" spans="3:38" x14ac:dyDescent="0.35">
      <c r="D130" t="s">
        <v>388</v>
      </c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5" t="s">
        <v>45</v>
      </c>
      <c r="U130" s="36"/>
      <c r="V130" s="37"/>
      <c r="W130" s="36"/>
      <c r="X130" s="36"/>
      <c r="Y130" s="36"/>
      <c r="Z130" s="36"/>
      <c r="AA130" s="36"/>
      <c r="AB130" s="36"/>
      <c r="AC130" s="36"/>
      <c r="AD130" s="11" t="s">
        <v>388</v>
      </c>
      <c r="AE130" s="11" t="s">
        <v>46</v>
      </c>
      <c r="AF130" s="11"/>
      <c r="AG130" s="11" t="s">
        <v>389</v>
      </c>
      <c r="AH130" t="s">
        <v>350</v>
      </c>
    </row>
    <row r="131" spans="3:38" x14ac:dyDescent="0.35">
      <c r="D131" t="s">
        <v>371</v>
      </c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5" t="s">
        <v>45</v>
      </c>
      <c r="U131" s="36"/>
      <c r="V131" s="37"/>
      <c r="W131" s="36"/>
      <c r="X131" s="36"/>
      <c r="Y131" s="36"/>
      <c r="Z131" s="36"/>
      <c r="AA131" s="36"/>
      <c r="AB131" s="36"/>
      <c r="AC131" s="36"/>
      <c r="AD131" s="11" t="s">
        <v>371</v>
      </c>
      <c r="AE131" s="11" t="s">
        <v>46</v>
      </c>
      <c r="AF131" s="11"/>
      <c r="AG131" s="11" t="s">
        <v>386</v>
      </c>
      <c r="AH131" t="str">
        <f t="shared" si="4"/>
        <v>number (0 NK)</v>
      </c>
    </row>
    <row r="132" spans="3:38" x14ac:dyDescent="0.35">
      <c r="D132" t="s">
        <v>372</v>
      </c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5" t="s">
        <v>45</v>
      </c>
      <c r="U132" s="36"/>
      <c r="V132" s="37"/>
      <c r="W132" s="36"/>
      <c r="X132" s="36"/>
      <c r="Y132" s="36"/>
      <c r="Z132" s="36"/>
      <c r="AA132" s="36"/>
      <c r="AB132" s="36"/>
      <c r="AC132" s="36"/>
      <c r="AD132" s="11" t="s">
        <v>372</v>
      </c>
      <c r="AE132" s="11" t="s">
        <v>373</v>
      </c>
      <c r="AF132" s="11"/>
      <c r="AG132" s="11" t="s">
        <v>387</v>
      </c>
      <c r="AH132" t="str">
        <f t="shared" ref="AH132" si="6">IF(AE132="","",AE132)</f>
        <v>string (512)</v>
      </c>
    </row>
    <row r="133" spans="3:38" x14ac:dyDescent="0.35">
      <c r="D133" t="s">
        <v>393</v>
      </c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 t="s">
        <v>45</v>
      </c>
      <c r="U133" s="36"/>
      <c r="V133" s="37"/>
      <c r="W133" s="36"/>
      <c r="X133" s="36"/>
      <c r="Y133" s="36"/>
      <c r="Z133" s="36"/>
      <c r="AA133" s="36"/>
      <c r="AB133" s="36"/>
      <c r="AC133" s="36"/>
      <c r="AD133" s="11" t="s">
        <v>393</v>
      </c>
      <c r="AE133" s="11" t="s">
        <v>373</v>
      </c>
      <c r="AF133" s="11"/>
      <c r="AG133" s="11" t="s">
        <v>394</v>
      </c>
      <c r="AH133" t="s">
        <v>395</v>
      </c>
    </row>
    <row r="134" spans="3:38" x14ac:dyDescent="0.35">
      <c r="D134" t="s">
        <v>441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 t="s">
        <v>45</v>
      </c>
      <c r="U134" s="36"/>
      <c r="V134" s="37"/>
      <c r="W134" s="36"/>
      <c r="X134" s="36"/>
      <c r="Y134" s="36"/>
      <c r="Z134" s="36"/>
      <c r="AA134" s="36"/>
      <c r="AB134" s="36"/>
      <c r="AC134" s="36"/>
      <c r="AD134" s="11" t="s">
        <v>441</v>
      </c>
      <c r="AE134" s="11"/>
      <c r="AF134" s="11"/>
      <c r="AG134" s="11" t="s">
        <v>448</v>
      </c>
      <c r="AH134" t="s">
        <v>442</v>
      </c>
    </row>
    <row r="135" spans="3:38" ht="21" x14ac:dyDescent="0.5">
      <c r="C135" s="15" t="s">
        <v>332</v>
      </c>
      <c r="I135" s="14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9"/>
      <c r="W135" s="38"/>
      <c r="X135" s="38"/>
      <c r="Y135" s="38"/>
      <c r="Z135" s="38"/>
      <c r="AA135" s="38"/>
      <c r="AB135" s="38"/>
      <c r="AC135" s="38"/>
      <c r="AJ135" t="str">
        <f t="shared" ref="AJ135" si="7">IF(AH135&lt;&gt;AE135,"x","")</f>
        <v/>
      </c>
    </row>
    <row r="136" spans="3:38" x14ac:dyDescent="0.35">
      <c r="D136" t="s">
        <v>184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5" t="s">
        <v>45</v>
      </c>
      <c r="V136" s="37"/>
      <c r="W136" s="36"/>
      <c r="X136" s="36"/>
      <c r="Y136" s="36"/>
      <c r="Z136" s="36"/>
      <c r="AA136" s="36"/>
      <c r="AB136" s="36"/>
      <c r="AC136" s="36"/>
      <c r="AD136" s="11" t="s">
        <v>184</v>
      </c>
      <c r="AE136" s="11" t="s">
        <v>121</v>
      </c>
      <c r="AF136" s="11" t="s">
        <v>184</v>
      </c>
      <c r="AG136" s="11" t="s">
        <v>185</v>
      </c>
      <c r="AH136" t="str">
        <f>IF(AE136="","",AE136)</f>
        <v>number (2 NK)</v>
      </c>
      <c r="AJ136" t="str">
        <f t="shared" si="3"/>
        <v/>
      </c>
    </row>
    <row r="137" spans="3:38" ht="21" x14ac:dyDescent="0.5">
      <c r="D137" s="15" t="s">
        <v>130</v>
      </c>
      <c r="I137" s="8" t="s">
        <v>378</v>
      </c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6"/>
      <c r="U137" s="38"/>
      <c r="V137" s="39"/>
      <c r="W137" s="38"/>
      <c r="X137" s="38"/>
      <c r="Y137" s="38"/>
      <c r="Z137" s="38"/>
      <c r="AA137" s="38"/>
      <c r="AB137" s="38"/>
      <c r="AC137" s="38"/>
      <c r="AJ137" t="str">
        <f t="shared" si="3"/>
        <v/>
      </c>
    </row>
    <row r="138" spans="3:38" x14ac:dyDescent="0.35">
      <c r="E138" t="s">
        <v>89</v>
      </c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7"/>
      <c r="W138" s="36"/>
      <c r="X138" s="36"/>
      <c r="Y138" s="36"/>
      <c r="Z138" s="35" t="s">
        <v>45</v>
      </c>
      <c r="AA138" s="36"/>
      <c r="AB138" s="36"/>
      <c r="AC138" s="36"/>
      <c r="AD138" s="11" t="s">
        <v>89</v>
      </c>
      <c r="AE138" s="11" t="s">
        <v>46</v>
      </c>
      <c r="AF138" s="11" t="s">
        <v>118</v>
      </c>
      <c r="AG138" s="11" t="s">
        <v>119</v>
      </c>
      <c r="AH138" t="str">
        <f>IF(AE138="","",AE138)</f>
        <v>number (0 NK)</v>
      </c>
      <c r="AJ138" t="str">
        <f t="shared" si="3"/>
        <v/>
      </c>
    </row>
    <row r="139" spans="3:38" x14ac:dyDescent="0.35">
      <c r="E139" t="s">
        <v>131</v>
      </c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7"/>
      <c r="W139" s="36"/>
      <c r="X139" s="36"/>
      <c r="Y139" s="36"/>
      <c r="Z139" s="35" t="s">
        <v>45</v>
      </c>
      <c r="AA139" s="36"/>
      <c r="AB139" s="36"/>
      <c r="AC139" s="36"/>
      <c r="AD139" s="11" t="s">
        <v>131</v>
      </c>
      <c r="AE139" s="11" t="s">
        <v>132</v>
      </c>
      <c r="AF139" s="11" t="s">
        <v>131</v>
      </c>
      <c r="AG139" s="11" t="s">
        <v>410</v>
      </c>
      <c r="AH139" t="str">
        <f>IF(AE139="","",AE139)</f>
        <v>number (5 NK)</v>
      </c>
      <c r="AJ139" t="str">
        <f t="shared" si="3"/>
        <v/>
      </c>
      <c r="AL139" t="s">
        <v>410</v>
      </c>
    </row>
    <row r="140" spans="3:38" x14ac:dyDescent="0.35">
      <c r="E140" t="s">
        <v>133</v>
      </c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7"/>
      <c r="W140" s="36"/>
      <c r="X140" s="36"/>
      <c r="Y140" s="36"/>
      <c r="Z140" s="35" t="s">
        <v>45</v>
      </c>
      <c r="AA140" s="36"/>
      <c r="AB140" s="36"/>
      <c r="AC140" s="36"/>
      <c r="AD140" s="11" t="s">
        <v>133</v>
      </c>
      <c r="AE140" s="11" t="s">
        <v>132</v>
      </c>
      <c r="AF140" s="11" t="s">
        <v>133</v>
      </c>
      <c r="AG140" s="11" t="s">
        <v>411</v>
      </c>
      <c r="AH140" t="str">
        <f>IF(AE140="","",AE140)</f>
        <v>number (5 NK)</v>
      </c>
      <c r="AJ140" t="str">
        <f t="shared" si="3"/>
        <v/>
      </c>
      <c r="AL140" t="s">
        <v>411</v>
      </c>
    </row>
    <row r="141" spans="3:38" x14ac:dyDescent="0.35">
      <c r="E141" t="s">
        <v>6</v>
      </c>
      <c r="I141" s="1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5" t="s">
        <v>45</v>
      </c>
      <c r="AA141" s="36"/>
      <c r="AB141" s="36"/>
      <c r="AC141" s="36"/>
      <c r="AD141" s="11" t="s">
        <v>6</v>
      </c>
      <c r="AE141" s="11" t="s">
        <v>132</v>
      </c>
      <c r="AF141" s="11" t="s">
        <v>6</v>
      </c>
      <c r="AG141" s="11" t="s">
        <v>412</v>
      </c>
      <c r="AH141" t="str">
        <f>IF(AE141="","",AE141)</f>
        <v>number (5 NK)</v>
      </c>
      <c r="AJ141" t="str">
        <f t="shared" si="3"/>
        <v/>
      </c>
      <c r="AL141" t="s">
        <v>412</v>
      </c>
    </row>
    <row r="142" spans="3:38" x14ac:dyDescent="0.35">
      <c r="D142" t="s">
        <v>186</v>
      </c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 t="s">
        <v>45</v>
      </c>
      <c r="V142" s="37"/>
      <c r="W142" s="36"/>
      <c r="X142" s="36"/>
      <c r="Y142" s="36"/>
      <c r="Z142" s="36"/>
      <c r="AA142" s="36"/>
      <c r="AB142" s="36"/>
      <c r="AC142" s="36"/>
      <c r="AD142" s="11" t="s">
        <v>186</v>
      </c>
      <c r="AE142" s="11" t="s">
        <v>344</v>
      </c>
      <c r="AF142" s="11" t="s">
        <v>186</v>
      </c>
      <c r="AG142" s="11" t="s">
        <v>413</v>
      </c>
      <c r="AH142" t="str">
        <f>IF(AE142="","",AE142)</f>
        <v>string (255)</v>
      </c>
      <c r="AJ142" t="str">
        <f t="shared" si="3"/>
        <v/>
      </c>
      <c r="AL142" t="s">
        <v>413</v>
      </c>
    </row>
    <row r="143" spans="3:38" ht="21" x14ac:dyDescent="0.5">
      <c r="D143" s="15" t="s">
        <v>144</v>
      </c>
      <c r="I143" s="8" t="s">
        <v>187</v>
      </c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6"/>
      <c r="U143" s="38"/>
      <c r="V143" s="40"/>
      <c r="W143" s="38"/>
      <c r="X143" s="38"/>
      <c r="Y143" s="38"/>
      <c r="Z143" s="38"/>
      <c r="AA143" s="38"/>
      <c r="AB143" s="38"/>
      <c r="AC143" s="38"/>
      <c r="AJ143" t="str">
        <f t="shared" si="3"/>
        <v/>
      </c>
    </row>
    <row r="144" spans="3:38" x14ac:dyDescent="0.35">
      <c r="E144" t="s">
        <v>147</v>
      </c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5" t="s">
        <v>45</v>
      </c>
      <c r="W144" s="36"/>
      <c r="X144" s="36"/>
      <c r="Y144" s="36"/>
      <c r="Z144" s="36"/>
      <c r="AA144" s="36"/>
      <c r="AB144" s="36"/>
      <c r="AC144" s="36"/>
      <c r="AD144" s="11" t="s">
        <v>147</v>
      </c>
      <c r="AE144" s="11" t="s">
        <v>343</v>
      </c>
      <c r="AF144" s="11" t="s">
        <v>147</v>
      </c>
      <c r="AG144" s="11" t="s">
        <v>148</v>
      </c>
      <c r="AH144" t="s">
        <v>52</v>
      </c>
      <c r="AJ144" t="str">
        <f t="shared" si="3"/>
        <v>x</v>
      </c>
      <c r="AK144" s="33" t="s">
        <v>337</v>
      </c>
    </row>
    <row r="145" spans="4:37" x14ac:dyDescent="0.35">
      <c r="E145" t="s">
        <v>57</v>
      </c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 t="s">
        <v>45</v>
      </c>
      <c r="W145" s="36"/>
      <c r="X145" s="36"/>
      <c r="Y145" s="36"/>
      <c r="Z145" s="36"/>
      <c r="AA145" s="36"/>
      <c r="AB145" s="36"/>
      <c r="AC145" s="36"/>
      <c r="AD145" s="11" t="s">
        <v>57</v>
      </c>
      <c r="AE145" s="11" t="s">
        <v>345</v>
      </c>
      <c r="AF145" s="11" t="s">
        <v>57</v>
      </c>
      <c r="AG145" s="11" t="s">
        <v>146</v>
      </c>
      <c r="AH145" t="str">
        <f>IF(AE145="","",AE145)</f>
        <v>string (60)</v>
      </c>
      <c r="AJ145" t="str">
        <f t="shared" si="3"/>
        <v/>
      </c>
    </row>
    <row r="146" spans="4:37" x14ac:dyDescent="0.35">
      <c r="E146" t="s">
        <v>140</v>
      </c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5" t="s">
        <v>45</v>
      </c>
      <c r="W146" s="36"/>
      <c r="X146" s="36"/>
      <c r="Y146" s="36"/>
      <c r="Z146" s="36"/>
      <c r="AA146" s="36"/>
      <c r="AB146" s="36"/>
      <c r="AC146" s="36"/>
      <c r="AD146" s="11" t="s">
        <v>140</v>
      </c>
      <c r="AE146" s="11" t="s">
        <v>71</v>
      </c>
      <c r="AF146" s="11" t="s">
        <v>140</v>
      </c>
      <c r="AG146" s="11" t="s">
        <v>188</v>
      </c>
      <c r="AH146" t="str">
        <f>IF(AE146="","",AE146)</f>
        <v>string (3)</v>
      </c>
      <c r="AJ146" t="str">
        <f t="shared" si="3"/>
        <v/>
      </c>
    </row>
    <row r="147" spans="4:37" x14ac:dyDescent="0.35">
      <c r="E147" t="s">
        <v>189</v>
      </c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 t="s">
        <v>45</v>
      </c>
      <c r="W147" s="36"/>
      <c r="X147" s="36"/>
      <c r="Y147" s="36"/>
      <c r="Z147" s="36"/>
      <c r="AA147" s="36"/>
      <c r="AB147" s="36"/>
      <c r="AC147" s="36"/>
      <c r="AD147" s="11" t="s">
        <v>189</v>
      </c>
      <c r="AE147" s="11" t="s">
        <v>121</v>
      </c>
      <c r="AF147" s="11" t="s">
        <v>189</v>
      </c>
      <c r="AG147" s="11" t="s">
        <v>190</v>
      </c>
      <c r="AH147" t="str">
        <f>IF(AE147="","",AE147)</f>
        <v>number (2 NK)</v>
      </c>
      <c r="AJ147" t="str">
        <f t="shared" si="3"/>
        <v/>
      </c>
    </row>
    <row r="148" spans="4:37" x14ac:dyDescent="0.35">
      <c r="E148" t="s">
        <v>142</v>
      </c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5" t="s">
        <v>45</v>
      </c>
      <c r="W148" s="36"/>
      <c r="X148" s="36"/>
      <c r="Y148" s="36"/>
      <c r="Z148" s="36"/>
      <c r="AA148" s="36"/>
      <c r="AB148" s="36"/>
      <c r="AC148" s="36"/>
      <c r="AD148" s="11" t="s">
        <v>142</v>
      </c>
      <c r="AE148" s="11" t="s">
        <v>121</v>
      </c>
      <c r="AF148" s="11" t="s">
        <v>142</v>
      </c>
      <c r="AG148" s="11" t="s">
        <v>191</v>
      </c>
      <c r="AH148" t="str">
        <f>IF(AE148="","",AE148)</f>
        <v>number (2 NK)</v>
      </c>
      <c r="AJ148" t="str">
        <f t="shared" si="3"/>
        <v/>
      </c>
    </row>
    <row r="149" spans="4:37" ht="21" x14ac:dyDescent="0.5">
      <c r="D149" s="15" t="s">
        <v>12</v>
      </c>
      <c r="I149" s="8" t="s">
        <v>192</v>
      </c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40"/>
      <c r="W149" s="38"/>
      <c r="X149" s="38"/>
      <c r="Y149" s="38"/>
      <c r="Z149" s="38"/>
      <c r="AA149" s="38"/>
      <c r="AB149" s="38"/>
      <c r="AC149" s="38"/>
      <c r="AJ149" t="str">
        <f t="shared" si="3"/>
        <v/>
      </c>
    </row>
    <row r="150" spans="4:37" x14ac:dyDescent="0.35">
      <c r="E150" t="s">
        <v>324</v>
      </c>
      <c r="H150" t="s">
        <v>44</v>
      </c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7"/>
      <c r="W150" s="35" t="s">
        <v>45</v>
      </c>
      <c r="X150" s="35" t="s">
        <v>45</v>
      </c>
      <c r="Y150" s="35" t="s">
        <v>45</v>
      </c>
      <c r="Z150" s="36"/>
      <c r="AA150" s="35" t="s">
        <v>45</v>
      </c>
      <c r="AB150" s="36"/>
      <c r="AC150" s="43" t="s">
        <v>45</v>
      </c>
      <c r="AD150" s="11" t="s">
        <v>324</v>
      </c>
      <c r="AE150" s="11" t="s">
        <v>343</v>
      </c>
      <c r="AF150" s="11" t="s">
        <v>193</v>
      </c>
      <c r="AG150" s="11" t="s">
        <v>194</v>
      </c>
      <c r="AH150" t="s">
        <v>343</v>
      </c>
      <c r="AJ150" t="str">
        <f t="shared" si="3"/>
        <v/>
      </c>
    </row>
    <row r="151" spans="4:37" x14ac:dyDescent="0.35">
      <c r="E151" t="s">
        <v>304</v>
      </c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7"/>
      <c r="W151" s="36" t="s">
        <v>45</v>
      </c>
      <c r="X151" s="36"/>
      <c r="Y151" s="36"/>
      <c r="Z151" s="36"/>
      <c r="AA151" s="36"/>
      <c r="AB151" s="36"/>
      <c r="AC151" s="36"/>
      <c r="AD151" s="11" t="s">
        <v>304</v>
      </c>
      <c r="AE151" s="11" t="s">
        <v>343</v>
      </c>
      <c r="AF151" s="11" t="s">
        <v>304</v>
      </c>
      <c r="AG151" s="11" t="s">
        <v>305</v>
      </c>
      <c r="AH151" t="s">
        <v>343</v>
      </c>
      <c r="AJ151" t="str">
        <f t="shared" si="3"/>
        <v/>
      </c>
    </row>
    <row r="152" spans="4:37" x14ac:dyDescent="0.35">
      <c r="E152" t="s">
        <v>201</v>
      </c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7"/>
      <c r="W152" s="35" t="s">
        <v>45</v>
      </c>
      <c r="X152" s="36"/>
      <c r="Y152" s="36"/>
      <c r="Z152" s="36"/>
      <c r="AA152" s="36"/>
      <c r="AB152" s="36"/>
      <c r="AC152" s="36"/>
      <c r="AD152" s="11" t="s">
        <v>201</v>
      </c>
      <c r="AE152" s="11" t="s">
        <v>344</v>
      </c>
      <c r="AF152" s="11" t="s">
        <v>201</v>
      </c>
      <c r="AG152" s="11" t="s">
        <v>306</v>
      </c>
      <c r="AH152" t="str">
        <f>IF(AE152="","",AE152)</f>
        <v>string (255)</v>
      </c>
      <c r="AJ152" t="str">
        <f t="shared" si="3"/>
        <v/>
      </c>
    </row>
    <row r="153" spans="4:37" ht="21" x14ac:dyDescent="0.5">
      <c r="E153" s="15" t="s">
        <v>195</v>
      </c>
      <c r="I153" s="14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9"/>
      <c r="W153" s="38"/>
      <c r="X153" s="38"/>
      <c r="Y153" s="38"/>
      <c r="Z153" s="38"/>
      <c r="AA153" s="38"/>
      <c r="AB153" s="38"/>
      <c r="AC153" s="38"/>
      <c r="AJ153" t="str">
        <f t="shared" si="3"/>
        <v/>
      </c>
    </row>
    <row r="154" spans="4:37" x14ac:dyDescent="0.35">
      <c r="F154" t="s">
        <v>89</v>
      </c>
      <c r="H154" s="30" t="s">
        <v>311</v>
      </c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7"/>
      <c r="W154" s="36"/>
      <c r="X154" s="36"/>
      <c r="Y154" s="36"/>
      <c r="Z154" s="36"/>
      <c r="AA154" s="36"/>
      <c r="AB154" s="36"/>
      <c r="AC154" s="36"/>
      <c r="AD154" s="11"/>
      <c r="AE154" s="11"/>
      <c r="AF154" s="11"/>
      <c r="AG154" s="11"/>
      <c r="AJ154" t="str">
        <f t="shared" si="3"/>
        <v/>
      </c>
    </row>
    <row r="155" spans="4:37" x14ac:dyDescent="0.35">
      <c r="F155" t="s">
        <v>99</v>
      </c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7"/>
      <c r="W155" s="36" t="s">
        <v>45</v>
      </c>
      <c r="X155" s="36"/>
      <c r="Y155" s="36"/>
      <c r="Z155" s="36"/>
      <c r="AA155" s="36"/>
      <c r="AB155" s="36"/>
      <c r="AC155" s="36"/>
      <c r="AD155" s="11" t="s">
        <v>99</v>
      </c>
      <c r="AE155" s="11" t="s">
        <v>343</v>
      </c>
      <c r="AF155" s="11" t="s">
        <v>293</v>
      </c>
      <c r="AG155" s="11" t="s">
        <v>197</v>
      </c>
      <c r="AH155" t="s">
        <v>343</v>
      </c>
      <c r="AJ155" t="str">
        <f t="shared" si="3"/>
        <v/>
      </c>
    </row>
    <row r="156" spans="4:37" ht="21" x14ac:dyDescent="0.5">
      <c r="E156" s="15" t="s">
        <v>297</v>
      </c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7"/>
      <c r="W156" s="36"/>
      <c r="X156" s="36"/>
      <c r="Y156" s="36"/>
      <c r="Z156" s="36"/>
      <c r="AA156" s="36"/>
      <c r="AB156" s="36"/>
      <c r="AC156" s="36"/>
      <c r="AD156" s="11"/>
      <c r="AE156" s="11"/>
      <c r="AF156" s="11"/>
      <c r="AG156" s="11"/>
      <c r="AJ156" t="str">
        <f t="shared" si="3"/>
        <v/>
      </c>
    </row>
    <row r="157" spans="4:37" x14ac:dyDescent="0.35">
      <c r="F157" t="s">
        <v>147</v>
      </c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7"/>
      <c r="W157" s="35" t="s">
        <v>45</v>
      </c>
      <c r="X157" s="36"/>
      <c r="Y157" s="36"/>
      <c r="Z157" s="36"/>
      <c r="AA157" s="36"/>
      <c r="AB157" s="36"/>
      <c r="AC157" s="36"/>
      <c r="AD157" s="11" t="s">
        <v>147</v>
      </c>
      <c r="AE157" s="11" t="s">
        <v>350</v>
      </c>
      <c r="AF157" s="11" t="s">
        <v>308</v>
      </c>
      <c r="AG157" s="11" t="s">
        <v>128</v>
      </c>
      <c r="AH157" t="str">
        <f t="shared" ref="AH157:AH158" si="8">IF(AE157="","",AE157)</f>
        <v>string (30)</v>
      </c>
      <c r="AJ157" t="str">
        <f t="shared" ref="AJ157:AJ220" si="9">IF(AH157&lt;&gt;AE157,"x","")</f>
        <v/>
      </c>
      <c r="AK157" s="32" t="s">
        <v>336</v>
      </c>
    </row>
    <row r="158" spans="4:37" x14ac:dyDescent="0.35">
      <c r="F158" t="s">
        <v>57</v>
      </c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7"/>
      <c r="W158" s="36" t="s">
        <v>45</v>
      </c>
      <c r="X158" s="36"/>
      <c r="Y158" s="36"/>
      <c r="Z158" s="36"/>
      <c r="AA158" s="36"/>
      <c r="AB158" s="36"/>
      <c r="AC158" s="36"/>
      <c r="AD158" s="11" t="s">
        <v>57</v>
      </c>
      <c r="AE158" s="11" t="s">
        <v>342</v>
      </c>
      <c r="AF158" s="11" t="s">
        <v>309</v>
      </c>
      <c r="AG158" s="11" t="s">
        <v>296</v>
      </c>
      <c r="AH158" t="str">
        <f t="shared" si="8"/>
        <v>string (40)</v>
      </c>
      <c r="AJ158" t="str">
        <f t="shared" si="9"/>
        <v/>
      </c>
      <c r="AK158" s="32" t="s">
        <v>335</v>
      </c>
    </row>
    <row r="159" spans="4:37" x14ac:dyDescent="0.35">
      <c r="F159" t="s">
        <v>129</v>
      </c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7"/>
      <c r="W159" s="36" t="s">
        <v>45</v>
      </c>
      <c r="X159" s="36"/>
      <c r="Y159" s="36"/>
      <c r="Z159" s="36"/>
      <c r="AA159" s="36"/>
      <c r="AB159" s="36"/>
      <c r="AC159" s="36"/>
      <c r="AD159" s="11" t="s">
        <v>129</v>
      </c>
      <c r="AE159" s="11" t="s">
        <v>46</v>
      </c>
      <c r="AF159" s="11" t="s">
        <v>129</v>
      </c>
      <c r="AG159" s="11" t="s">
        <v>106</v>
      </c>
      <c r="AH159" t="str">
        <f>IF(AE159="","",AE159)</f>
        <v>number (0 NK)</v>
      </c>
      <c r="AJ159" t="str">
        <f t="shared" si="9"/>
        <v/>
      </c>
    </row>
    <row r="160" spans="4:37" ht="21" x14ac:dyDescent="0.5">
      <c r="F160" s="15" t="s">
        <v>130</v>
      </c>
      <c r="I160" s="8" t="s">
        <v>377</v>
      </c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9"/>
      <c r="W160" s="38"/>
      <c r="X160" s="38"/>
      <c r="Y160" s="38"/>
      <c r="Z160" s="38"/>
      <c r="AA160" s="38"/>
      <c r="AB160" s="38"/>
      <c r="AC160" s="38"/>
      <c r="AJ160" t="str">
        <f t="shared" si="9"/>
        <v/>
      </c>
    </row>
    <row r="161" spans="5:38" x14ac:dyDescent="0.35">
      <c r="G161" t="s">
        <v>89</v>
      </c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7"/>
      <c r="W161" s="36"/>
      <c r="X161" s="36"/>
      <c r="Y161" s="36"/>
      <c r="Z161" s="36"/>
      <c r="AA161" s="35" t="s">
        <v>45</v>
      </c>
      <c r="AB161" s="36"/>
      <c r="AC161" s="36"/>
      <c r="AD161" s="11" t="s">
        <v>89</v>
      </c>
      <c r="AE161" s="11" t="s">
        <v>46</v>
      </c>
      <c r="AF161" s="11" t="s">
        <v>118</v>
      </c>
      <c r="AG161" s="11" t="s">
        <v>119</v>
      </c>
      <c r="AH161" t="str">
        <f>IF(AE161="","",AE161)</f>
        <v>number (0 NK)</v>
      </c>
      <c r="AJ161" t="str">
        <f t="shared" si="9"/>
        <v/>
      </c>
    </row>
    <row r="162" spans="5:38" x14ac:dyDescent="0.35">
      <c r="G162" t="s">
        <v>131</v>
      </c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7"/>
      <c r="W162" s="36"/>
      <c r="X162" s="36"/>
      <c r="Y162" s="36"/>
      <c r="Z162" s="36"/>
      <c r="AA162" s="36" t="s">
        <v>45</v>
      </c>
      <c r="AB162" s="36"/>
      <c r="AC162" s="36"/>
      <c r="AD162" s="11" t="s">
        <v>131</v>
      </c>
      <c r="AE162" s="11" t="s">
        <v>132</v>
      </c>
      <c r="AF162" s="11" t="s">
        <v>131</v>
      </c>
      <c r="AG162" s="11" t="s">
        <v>415</v>
      </c>
      <c r="AH162" t="str">
        <f>IF(AE162="","",AE162)</f>
        <v>number (5 NK)</v>
      </c>
      <c r="AJ162" t="str">
        <f t="shared" si="9"/>
        <v/>
      </c>
      <c r="AL162" t="s">
        <v>415</v>
      </c>
    </row>
    <row r="163" spans="5:38" x14ac:dyDescent="0.35">
      <c r="G163" t="s">
        <v>133</v>
      </c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7"/>
      <c r="W163" s="36"/>
      <c r="X163" s="36"/>
      <c r="Y163" s="36"/>
      <c r="Z163" s="36"/>
      <c r="AA163" s="36" t="s">
        <v>45</v>
      </c>
      <c r="AB163" s="36"/>
      <c r="AC163" s="36"/>
      <c r="AD163" s="11" t="s">
        <v>133</v>
      </c>
      <c r="AE163" s="11" t="s">
        <v>132</v>
      </c>
      <c r="AF163" s="11" t="s">
        <v>133</v>
      </c>
      <c r="AG163" s="11" t="s">
        <v>416</v>
      </c>
      <c r="AH163" t="str">
        <f>IF(AE163="","",AE163)</f>
        <v>number (5 NK)</v>
      </c>
      <c r="AJ163" t="str">
        <f t="shared" si="9"/>
        <v/>
      </c>
      <c r="AL163" t="s">
        <v>416</v>
      </c>
    </row>
    <row r="164" spans="5:38" x14ac:dyDescent="0.35">
      <c r="G164" t="s">
        <v>6</v>
      </c>
      <c r="I164" s="1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 t="s">
        <v>45</v>
      </c>
      <c r="AB164" s="36"/>
      <c r="AC164" s="36"/>
      <c r="AD164" s="11" t="s">
        <v>6</v>
      </c>
      <c r="AE164" s="11" t="s">
        <v>132</v>
      </c>
      <c r="AF164" s="11" t="s">
        <v>6</v>
      </c>
      <c r="AG164" s="11" t="s">
        <v>414</v>
      </c>
      <c r="AH164" t="str">
        <f>IF(AE164="","",AE164)</f>
        <v>number (5 NK)</v>
      </c>
      <c r="AJ164" t="str">
        <f t="shared" si="9"/>
        <v/>
      </c>
      <c r="AL164" t="s">
        <v>414</v>
      </c>
    </row>
    <row r="165" spans="5:38" x14ac:dyDescent="0.35">
      <c r="E165" t="s">
        <v>198</v>
      </c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7"/>
      <c r="W165" s="36" t="s">
        <v>45</v>
      </c>
      <c r="X165" s="36"/>
      <c r="Y165" s="36"/>
      <c r="Z165" s="36"/>
      <c r="AA165" s="36"/>
      <c r="AB165" s="36"/>
      <c r="AC165" s="36"/>
      <c r="AD165" s="11" t="s">
        <v>198</v>
      </c>
      <c r="AE165" s="11" t="s">
        <v>154</v>
      </c>
      <c r="AF165" s="11" t="s">
        <v>198</v>
      </c>
      <c r="AG165" s="11" t="s">
        <v>199</v>
      </c>
      <c r="AH165" t="s">
        <v>156</v>
      </c>
      <c r="AJ165" t="str">
        <f t="shared" si="9"/>
        <v>x</v>
      </c>
    </row>
    <row r="166" spans="5:38" x14ac:dyDescent="0.35">
      <c r="E166" t="s">
        <v>153</v>
      </c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7"/>
      <c r="W166" s="36" t="s">
        <v>45</v>
      </c>
      <c r="X166" s="36"/>
      <c r="Y166" s="36"/>
      <c r="Z166" s="36"/>
      <c r="AA166" s="36"/>
      <c r="AB166" s="36"/>
      <c r="AC166" s="36"/>
      <c r="AD166" s="11" t="s">
        <v>153</v>
      </c>
      <c r="AE166" s="11" t="s">
        <v>154</v>
      </c>
      <c r="AF166" s="11" t="s">
        <v>153</v>
      </c>
      <c r="AG166" s="11" t="s">
        <v>200</v>
      </c>
      <c r="AH166" t="s">
        <v>156</v>
      </c>
      <c r="AI166" s="12"/>
      <c r="AJ166" t="str">
        <f t="shared" si="9"/>
        <v>x</v>
      </c>
    </row>
    <row r="167" spans="5:38" ht="21" x14ac:dyDescent="0.5">
      <c r="E167" s="15" t="s">
        <v>202</v>
      </c>
      <c r="I167" s="14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9"/>
      <c r="W167" s="38"/>
      <c r="X167" s="38"/>
      <c r="Y167" s="38"/>
      <c r="Z167" s="38"/>
      <c r="AA167" s="38"/>
      <c r="AB167" s="38"/>
      <c r="AC167" s="38"/>
      <c r="AJ167" t="str">
        <f t="shared" si="9"/>
        <v/>
      </c>
    </row>
    <row r="168" spans="5:38" x14ac:dyDescent="0.35">
      <c r="F168" t="s">
        <v>43</v>
      </c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7"/>
      <c r="W168" s="49" t="s">
        <v>45</v>
      </c>
      <c r="X168" s="36"/>
      <c r="Y168" s="36"/>
      <c r="Z168" s="36"/>
      <c r="AA168" s="36"/>
      <c r="AB168" s="36"/>
      <c r="AC168" s="36"/>
      <c r="AD168" s="11" t="s">
        <v>43</v>
      </c>
      <c r="AE168" s="11" t="s">
        <v>343</v>
      </c>
      <c r="AF168" s="11" t="s">
        <v>203</v>
      </c>
      <c r="AG168" s="11" t="s">
        <v>204</v>
      </c>
      <c r="AH168" t="s">
        <v>343</v>
      </c>
      <c r="AJ168" t="str">
        <f t="shared" si="9"/>
        <v/>
      </c>
    </row>
    <row r="169" spans="5:38" x14ac:dyDescent="0.35">
      <c r="F169" t="s">
        <v>205</v>
      </c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7"/>
      <c r="W169" s="36" t="s">
        <v>45</v>
      </c>
      <c r="X169" s="36"/>
      <c r="Y169" s="36"/>
      <c r="Z169" s="36"/>
      <c r="AA169" s="36"/>
      <c r="AB169" s="36"/>
      <c r="AC169" s="36"/>
      <c r="AD169" s="11" t="s">
        <v>205</v>
      </c>
      <c r="AE169" s="11" t="s">
        <v>343</v>
      </c>
      <c r="AF169" s="11" t="s">
        <v>206</v>
      </c>
      <c r="AG169" s="11" t="s">
        <v>207</v>
      </c>
      <c r="AH169" t="s">
        <v>343</v>
      </c>
      <c r="AJ169" t="str">
        <f t="shared" si="9"/>
        <v/>
      </c>
    </row>
    <row r="170" spans="5:38" x14ac:dyDescent="0.35">
      <c r="F170" t="s">
        <v>218</v>
      </c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7"/>
      <c r="W170" s="36" t="s">
        <v>45</v>
      </c>
      <c r="X170" s="36"/>
      <c r="Y170" s="36"/>
      <c r="Z170" s="36"/>
      <c r="AA170" s="36"/>
      <c r="AB170" s="36"/>
      <c r="AC170" s="36"/>
      <c r="AD170" s="11" t="s">
        <v>218</v>
      </c>
      <c r="AE170" s="11" t="s">
        <v>342</v>
      </c>
      <c r="AF170" s="11" t="s">
        <v>219</v>
      </c>
      <c r="AG170" s="11" t="s">
        <v>220</v>
      </c>
      <c r="AH170" t="str">
        <f t="shared" ref="AH170" si="10">IF(AE170="","",AE170)</f>
        <v>string (40)</v>
      </c>
      <c r="AJ170" t="str">
        <f t="shared" si="9"/>
        <v/>
      </c>
    </row>
    <row r="171" spans="5:38" x14ac:dyDescent="0.35">
      <c r="F171" t="s">
        <v>221</v>
      </c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7"/>
      <c r="W171" s="36" t="s">
        <v>45</v>
      </c>
      <c r="X171" s="36"/>
      <c r="Y171" s="36"/>
      <c r="Z171" s="36"/>
      <c r="AA171" s="36"/>
      <c r="AB171" s="36"/>
      <c r="AC171" s="36"/>
      <c r="AD171" s="11" t="s">
        <v>221</v>
      </c>
      <c r="AE171" s="11" t="s">
        <v>343</v>
      </c>
      <c r="AF171" s="11" t="s">
        <v>222</v>
      </c>
      <c r="AG171" s="11" t="s">
        <v>223</v>
      </c>
      <c r="AH171" t="s">
        <v>343</v>
      </c>
      <c r="AJ171" t="str">
        <f t="shared" si="9"/>
        <v/>
      </c>
    </row>
    <row r="172" spans="5:38" x14ac:dyDescent="0.35">
      <c r="F172" t="s">
        <v>208</v>
      </c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7"/>
      <c r="W172" s="49" t="s">
        <v>45</v>
      </c>
      <c r="X172" s="36"/>
      <c r="Y172" s="36"/>
      <c r="Z172" s="36"/>
      <c r="AA172" s="36"/>
      <c r="AB172" s="36"/>
      <c r="AC172" s="36"/>
      <c r="AD172" s="11" t="s">
        <v>208</v>
      </c>
      <c r="AE172" s="11" t="s">
        <v>209</v>
      </c>
      <c r="AF172" s="11" t="s">
        <v>210</v>
      </c>
      <c r="AG172" s="11" t="s">
        <v>211</v>
      </c>
      <c r="AH172" t="str">
        <f t="shared" ref="AH172:AH173" si="11">IF(AE172="","",AE172)</f>
        <v>number (3 NK)</v>
      </c>
      <c r="AJ172" t="str">
        <f t="shared" si="9"/>
        <v/>
      </c>
    </row>
    <row r="173" spans="5:38" x14ac:dyDescent="0.35">
      <c r="F173" t="s">
        <v>212</v>
      </c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7"/>
      <c r="W173" s="36" t="s">
        <v>45</v>
      </c>
      <c r="X173" s="36"/>
      <c r="Y173" s="36"/>
      <c r="Z173" s="36"/>
      <c r="AA173" s="36"/>
      <c r="AB173" s="36"/>
      <c r="AC173" s="36"/>
      <c r="AD173" s="11" t="s">
        <v>212</v>
      </c>
      <c r="AE173" s="11" t="s">
        <v>209</v>
      </c>
      <c r="AF173" s="11" t="s">
        <v>213</v>
      </c>
      <c r="AG173" s="11" t="s">
        <v>214</v>
      </c>
      <c r="AH173" t="str">
        <f t="shared" si="11"/>
        <v>number (3 NK)</v>
      </c>
      <c r="AJ173" t="str">
        <f t="shared" si="9"/>
        <v/>
      </c>
    </row>
    <row r="174" spans="5:38" x14ac:dyDescent="0.35">
      <c r="F174" t="s">
        <v>215</v>
      </c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7"/>
      <c r="W174" s="36" t="s">
        <v>45</v>
      </c>
      <c r="X174" s="36"/>
      <c r="Y174" s="36"/>
      <c r="Z174" s="36"/>
      <c r="AA174" s="36"/>
      <c r="AB174" s="36"/>
      <c r="AC174" s="36"/>
      <c r="AD174" s="11" t="s">
        <v>215</v>
      </c>
      <c r="AE174" s="11" t="s">
        <v>344</v>
      </c>
      <c r="AF174" s="11" t="s">
        <v>216</v>
      </c>
      <c r="AG174" s="11" t="s">
        <v>217</v>
      </c>
      <c r="AH174" t="s">
        <v>343</v>
      </c>
      <c r="AJ174" t="str">
        <f t="shared" si="9"/>
        <v>x</v>
      </c>
    </row>
    <row r="175" spans="5:38" x14ac:dyDescent="0.35">
      <c r="F175" t="s">
        <v>224</v>
      </c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7"/>
      <c r="W175" s="49" t="s">
        <v>45</v>
      </c>
      <c r="X175" s="36"/>
      <c r="Y175" s="36"/>
      <c r="Z175" s="36"/>
      <c r="AA175" s="36"/>
      <c r="AB175" s="36"/>
      <c r="AC175" s="36"/>
      <c r="AD175" s="11" t="s">
        <v>224</v>
      </c>
      <c r="AE175" s="11" t="s">
        <v>121</v>
      </c>
      <c r="AF175" s="11" t="s">
        <v>225</v>
      </c>
      <c r="AG175" s="11" t="s">
        <v>226</v>
      </c>
      <c r="AH175" t="s">
        <v>446</v>
      </c>
      <c r="AJ175" t="str">
        <f t="shared" si="9"/>
        <v>x</v>
      </c>
    </row>
    <row r="176" spans="5:38" ht="21" x14ac:dyDescent="0.5">
      <c r="E176" s="15" t="s">
        <v>322</v>
      </c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7"/>
      <c r="W176" s="36"/>
      <c r="X176" s="36"/>
      <c r="Y176" s="36"/>
      <c r="Z176" s="36"/>
      <c r="AA176" s="36"/>
      <c r="AB176" s="36"/>
      <c r="AC176" s="36"/>
      <c r="AD176" s="11"/>
      <c r="AE176" s="11"/>
      <c r="AF176" s="11"/>
      <c r="AG176" s="11"/>
      <c r="AJ176" t="str">
        <f t="shared" si="9"/>
        <v/>
      </c>
    </row>
    <row r="177" spans="1:38" x14ac:dyDescent="0.35">
      <c r="F177" t="s">
        <v>147</v>
      </c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7"/>
      <c r="W177" s="44"/>
      <c r="X177" s="36"/>
      <c r="Y177" s="36"/>
      <c r="Z177" s="36"/>
      <c r="AA177" s="36"/>
      <c r="AB177" s="36"/>
      <c r="AC177" s="35" t="s">
        <v>45</v>
      </c>
      <c r="AD177" s="11" t="s">
        <v>147</v>
      </c>
      <c r="AE177" s="11" t="s">
        <v>348</v>
      </c>
      <c r="AF177" s="11"/>
      <c r="AG177" s="11" t="s">
        <v>319</v>
      </c>
      <c r="AH177" t="str">
        <f t="shared" ref="AH177:AH182" si="12">IF(AE177="","",AE177)</f>
        <v>string (20)</v>
      </c>
      <c r="AJ177" t="str">
        <f t="shared" si="9"/>
        <v/>
      </c>
    </row>
    <row r="178" spans="1:38" x14ac:dyDescent="0.35">
      <c r="F178" t="s">
        <v>57</v>
      </c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7"/>
      <c r="W178" s="44"/>
      <c r="X178" s="36"/>
      <c r="Y178" s="36"/>
      <c r="Z178" s="36"/>
      <c r="AA178" s="36"/>
      <c r="AB178" s="36"/>
      <c r="AC178" s="43" t="s">
        <v>45</v>
      </c>
      <c r="AD178" s="11" t="s">
        <v>57</v>
      </c>
      <c r="AE178" s="11" t="s">
        <v>342</v>
      </c>
      <c r="AF178" s="11"/>
      <c r="AG178" s="11" t="s">
        <v>333</v>
      </c>
      <c r="AH178" t="s">
        <v>345</v>
      </c>
      <c r="AJ178" t="str">
        <f t="shared" ref="AJ178" si="13">IF(AH178&lt;&gt;AE178,"x","")</f>
        <v>x</v>
      </c>
      <c r="AK178" s="32" t="s">
        <v>335</v>
      </c>
    </row>
    <row r="179" spans="1:38" x14ac:dyDescent="0.35">
      <c r="F179" t="s">
        <v>307</v>
      </c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7"/>
      <c r="W179" s="44"/>
      <c r="X179" s="36"/>
      <c r="Y179" s="36"/>
      <c r="Z179" s="36"/>
      <c r="AA179" s="36"/>
      <c r="AB179" s="36"/>
      <c r="AC179" s="43" t="s">
        <v>45</v>
      </c>
      <c r="AD179" s="11" t="s">
        <v>307</v>
      </c>
      <c r="AE179" s="11" t="s">
        <v>52</v>
      </c>
      <c r="AF179" s="11"/>
      <c r="AG179" s="11" t="s">
        <v>320</v>
      </c>
      <c r="AH179" t="str">
        <f t="shared" si="12"/>
        <v>string (25)</v>
      </c>
      <c r="AJ179" t="str">
        <f t="shared" si="9"/>
        <v/>
      </c>
    </row>
    <row r="180" spans="1:38" x14ac:dyDescent="0.35">
      <c r="F180" t="s">
        <v>196</v>
      </c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7"/>
      <c r="W180" s="44"/>
      <c r="X180" s="36"/>
      <c r="Y180" s="36"/>
      <c r="Z180" s="36"/>
      <c r="AA180" s="36"/>
      <c r="AB180" s="36"/>
      <c r="AC180" s="43" t="s">
        <v>45</v>
      </c>
      <c r="AD180" s="11" t="s">
        <v>196</v>
      </c>
      <c r="AE180" s="11" t="s">
        <v>343</v>
      </c>
      <c r="AF180" s="11"/>
      <c r="AG180" s="11" t="s">
        <v>341</v>
      </c>
      <c r="AH180" t="str">
        <f t="shared" si="12"/>
        <v>string (50)</v>
      </c>
      <c r="AJ180" t="str">
        <f t="shared" si="9"/>
        <v/>
      </c>
      <c r="AK180" s="32" t="s">
        <v>340</v>
      </c>
    </row>
    <row r="181" spans="1:38" x14ac:dyDescent="0.35">
      <c r="F181" t="s">
        <v>318</v>
      </c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7"/>
      <c r="W181" s="44"/>
      <c r="X181" s="36"/>
      <c r="Y181" s="36"/>
      <c r="Z181" s="36"/>
      <c r="AA181" s="36"/>
      <c r="AB181" s="36"/>
      <c r="AC181" s="43" t="s">
        <v>45</v>
      </c>
      <c r="AD181" s="11" t="s">
        <v>41</v>
      </c>
      <c r="AE181" s="11" t="s">
        <v>46</v>
      </c>
      <c r="AF181" s="11"/>
      <c r="AG181" s="11" t="s">
        <v>321</v>
      </c>
      <c r="AH181" t="str">
        <f t="shared" si="12"/>
        <v>number (0 NK)</v>
      </c>
      <c r="AJ181" t="str">
        <f t="shared" si="9"/>
        <v/>
      </c>
    </row>
    <row r="182" spans="1:38" x14ac:dyDescent="0.35">
      <c r="F182" t="s">
        <v>89</v>
      </c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7"/>
      <c r="W182" s="44"/>
      <c r="X182" s="36"/>
      <c r="Y182" s="36"/>
      <c r="Z182" s="36"/>
      <c r="AA182" s="36"/>
      <c r="AB182" s="36"/>
      <c r="AC182" s="35" t="s">
        <v>45</v>
      </c>
      <c r="AD182" s="11" t="s">
        <v>89</v>
      </c>
      <c r="AE182" s="11" t="s">
        <v>342</v>
      </c>
      <c r="AF182" s="11"/>
      <c r="AG182" s="11" t="s">
        <v>327</v>
      </c>
      <c r="AH182" t="str">
        <f t="shared" si="12"/>
        <v>string (40)</v>
      </c>
      <c r="AJ182" t="str">
        <f t="shared" si="9"/>
        <v/>
      </c>
    </row>
    <row r="183" spans="1:38" x14ac:dyDescent="0.35">
      <c r="I183" s="8" t="s">
        <v>227</v>
      </c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J183" t="str">
        <f t="shared" si="9"/>
        <v/>
      </c>
    </row>
    <row r="184" spans="1:38" x14ac:dyDescent="0.35">
      <c r="A184" s="19" t="str">
        <f>"--&gt; deklaratorisches Feld type: nur in csv-Konvertierung; nur einer der Blöcke wird geschrieben je Zeile (base_amount, discount oder extra_amount)"</f>
        <v>--&gt; deklaratorisches Feld type: nur in csv-Konvertierung; nur einer der Blöcke wird geschrieben je Zeile (base_amount, discount oder extra_amount)</v>
      </c>
      <c r="I184" s="20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 t="s">
        <v>45</v>
      </c>
      <c r="Y184" s="36"/>
      <c r="Z184" s="36"/>
      <c r="AA184" s="36"/>
      <c r="AB184" s="36"/>
      <c r="AC184" s="36"/>
      <c r="AF184" s="11" t="s">
        <v>147</v>
      </c>
      <c r="AG184" s="11" t="s">
        <v>228</v>
      </c>
      <c r="AH184" t="s">
        <v>348</v>
      </c>
      <c r="AJ184" t="str">
        <f t="shared" si="9"/>
        <v>x</v>
      </c>
      <c r="AK184" s="11"/>
    </row>
    <row r="185" spans="1:38" ht="21" x14ac:dyDescent="0.5">
      <c r="F185" s="15" t="s">
        <v>229</v>
      </c>
      <c r="I185" s="14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9"/>
      <c r="W185" s="38"/>
      <c r="X185" s="38"/>
      <c r="Y185" s="38"/>
      <c r="Z185" s="38"/>
      <c r="AA185" s="38"/>
      <c r="AB185" s="38"/>
      <c r="AC185" s="38"/>
      <c r="AJ185" t="str">
        <f t="shared" si="9"/>
        <v/>
      </c>
    </row>
    <row r="186" spans="1:38" x14ac:dyDescent="0.35">
      <c r="G186" t="s">
        <v>89</v>
      </c>
      <c r="I186" s="1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5" t="s">
        <v>45</v>
      </c>
      <c r="Y186" s="36"/>
      <c r="Z186" s="36"/>
      <c r="AA186" s="36"/>
      <c r="AB186" s="36"/>
      <c r="AC186" s="36"/>
      <c r="AD186" s="11" t="s">
        <v>89</v>
      </c>
      <c r="AE186" s="11" t="s">
        <v>46</v>
      </c>
      <c r="AF186" s="11" t="s">
        <v>118</v>
      </c>
      <c r="AG186" s="11" t="s">
        <v>119</v>
      </c>
      <c r="AH186" t="str">
        <f>IF(AE186="","",AE186)</f>
        <v>number (0 NK)</v>
      </c>
      <c r="AJ186" t="str">
        <f t="shared" si="9"/>
        <v/>
      </c>
    </row>
    <row r="187" spans="1:38" x14ac:dyDescent="0.35">
      <c r="G187" t="s">
        <v>131</v>
      </c>
      <c r="I187" s="1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 t="s">
        <v>45</v>
      </c>
      <c r="Y187" s="36"/>
      <c r="Z187" s="36"/>
      <c r="AA187" s="36"/>
      <c r="AB187" s="36"/>
      <c r="AC187" s="36"/>
      <c r="AD187" s="11" t="s">
        <v>131</v>
      </c>
      <c r="AE187" s="11" t="s">
        <v>132</v>
      </c>
      <c r="AF187" s="11" t="s">
        <v>131</v>
      </c>
      <c r="AG187" s="11" t="s">
        <v>417</v>
      </c>
      <c r="AH187" t="str">
        <f>IF(AE187="","",AE187)</f>
        <v>number (5 NK)</v>
      </c>
      <c r="AJ187" t="str">
        <f t="shared" si="9"/>
        <v/>
      </c>
      <c r="AL187" t="s">
        <v>417</v>
      </c>
    </row>
    <row r="188" spans="1:38" x14ac:dyDescent="0.35">
      <c r="G188" t="s">
        <v>133</v>
      </c>
      <c r="I188" s="1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 t="s">
        <v>45</v>
      </c>
      <c r="Y188" s="36"/>
      <c r="Z188" s="36"/>
      <c r="AA188" s="36"/>
      <c r="AB188" s="36"/>
      <c r="AC188" s="36"/>
      <c r="AD188" s="11" t="s">
        <v>133</v>
      </c>
      <c r="AE188" s="11" t="s">
        <v>132</v>
      </c>
      <c r="AF188" s="11" t="s">
        <v>133</v>
      </c>
      <c r="AG188" s="11" t="s">
        <v>418</v>
      </c>
      <c r="AH188" t="str">
        <f>IF(AE188="","",AE188)</f>
        <v>number (5 NK)</v>
      </c>
      <c r="AJ188" t="str">
        <f t="shared" si="9"/>
        <v/>
      </c>
      <c r="AL188" t="s">
        <v>418</v>
      </c>
    </row>
    <row r="189" spans="1:38" x14ac:dyDescent="0.35">
      <c r="G189" t="s">
        <v>6</v>
      </c>
      <c r="I189" s="1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 t="s">
        <v>45</v>
      </c>
      <c r="Y189" s="36"/>
      <c r="Z189" s="36"/>
      <c r="AA189" s="36"/>
      <c r="AB189" s="36"/>
      <c r="AC189" s="36"/>
      <c r="AD189" s="11" t="s">
        <v>6</v>
      </c>
      <c r="AE189" s="11" t="s">
        <v>132</v>
      </c>
      <c r="AF189" s="11" t="s">
        <v>6</v>
      </c>
      <c r="AG189" s="11" t="s">
        <v>419</v>
      </c>
      <c r="AH189" t="str">
        <f>IF(AE189="","",AE189)</f>
        <v>number (5 NK)</v>
      </c>
      <c r="AJ189" t="str">
        <f t="shared" si="9"/>
        <v/>
      </c>
      <c r="AL189" t="s">
        <v>419</v>
      </c>
    </row>
    <row r="190" spans="1:38" ht="15.75" customHeight="1" x14ac:dyDescent="0.5">
      <c r="F190" s="15" t="s">
        <v>230</v>
      </c>
      <c r="I190" s="14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9"/>
      <c r="W190" s="38"/>
      <c r="X190" s="38"/>
      <c r="Y190" s="38"/>
      <c r="Z190" s="38"/>
      <c r="AA190" s="38"/>
      <c r="AB190" s="38"/>
      <c r="AC190" s="38"/>
      <c r="AJ190" t="str">
        <f t="shared" si="9"/>
        <v/>
      </c>
    </row>
    <row r="191" spans="1:38" x14ac:dyDescent="0.35">
      <c r="G191" t="s">
        <v>89</v>
      </c>
      <c r="I191" s="1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5" t="s">
        <v>45</v>
      </c>
      <c r="Y191" s="36"/>
      <c r="Z191" s="36"/>
      <c r="AA191" s="36"/>
      <c r="AB191" s="36"/>
      <c r="AC191" s="36"/>
      <c r="AD191" s="11" t="s">
        <v>89</v>
      </c>
      <c r="AE191" s="11" t="s">
        <v>46</v>
      </c>
      <c r="AF191" s="11" t="s">
        <v>118</v>
      </c>
      <c r="AG191" s="11" t="s">
        <v>119</v>
      </c>
      <c r="AH191" t="str">
        <f>IF(AE191="","",AE191)</f>
        <v>number (0 NK)</v>
      </c>
      <c r="AJ191" t="str">
        <f t="shared" si="9"/>
        <v/>
      </c>
    </row>
    <row r="192" spans="1:38" x14ac:dyDescent="0.35">
      <c r="G192" t="s">
        <v>131</v>
      </c>
      <c r="I192" s="1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 t="s">
        <v>45</v>
      </c>
      <c r="Y192" s="36"/>
      <c r="Z192" s="36"/>
      <c r="AA192" s="36"/>
      <c r="AB192" s="36"/>
      <c r="AC192" s="36"/>
      <c r="AD192" s="11" t="s">
        <v>131</v>
      </c>
      <c r="AE192" s="11" t="s">
        <v>132</v>
      </c>
      <c r="AF192" s="11" t="s">
        <v>131</v>
      </c>
      <c r="AG192" s="11" t="s">
        <v>417</v>
      </c>
      <c r="AH192" t="str">
        <f>IF(AE192="","",AE192)</f>
        <v>number (5 NK)</v>
      </c>
      <c r="AJ192" t="str">
        <f t="shared" si="9"/>
        <v/>
      </c>
      <c r="AL192" t="s">
        <v>417</v>
      </c>
    </row>
    <row r="193" spans="6:38" x14ac:dyDescent="0.35">
      <c r="G193" t="s">
        <v>133</v>
      </c>
      <c r="I193" s="1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 t="s">
        <v>45</v>
      </c>
      <c r="Y193" s="36"/>
      <c r="Z193" s="36"/>
      <c r="AA193" s="36"/>
      <c r="AB193" s="36"/>
      <c r="AC193" s="36"/>
      <c r="AD193" s="11" t="s">
        <v>133</v>
      </c>
      <c r="AE193" s="11" t="s">
        <v>132</v>
      </c>
      <c r="AF193" s="11" t="s">
        <v>133</v>
      </c>
      <c r="AG193" s="11" t="s">
        <v>418</v>
      </c>
      <c r="AH193" t="str">
        <f>IF(AE193="","",AE193)</f>
        <v>number (5 NK)</v>
      </c>
      <c r="AJ193" t="str">
        <f t="shared" si="9"/>
        <v/>
      </c>
      <c r="AL193" t="s">
        <v>418</v>
      </c>
    </row>
    <row r="194" spans="6:38" x14ac:dyDescent="0.35">
      <c r="G194" t="s">
        <v>6</v>
      </c>
      <c r="I194" s="1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 t="s">
        <v>45</v>
      </c>
      <c r="Y194" s="36"/>
      <c r="Z194" s="36"/>
      <c r="AA194" s="36"/>
      <c r="AB194" s="36"/>
      <c r="AC194" s="36"/>
      <c r="AD194" s="11" t="s">
        <v>6</v>
      </c>
      <c r="AE194" s="11" t="s">
        <v>132</v>
      </c>
      <c r="AF194" s="11" t="s">
        <v>6</v>
      </c>
      <c r="AG194" s="11" t="s">
        <v>419</v>
      </c>
      <c r="AH194" t="str">
        <f>IF(AE194="","",AE194)</f>
        <v>number (5 NK)</v>
      </c>
      <c r="AJ194" t="str">
        <f t="shared" si="9"/>
        <v/>
      </c>
      <c r="AL194" t="s">
        <v>419</v>
      </c>
    </row>
    <row r="195" spans="6:38" ht="21" x14ac:dyDescent="0.5">
      <c r="F195" s="15" t="s">
        <v>231</v>
      </c>
      <c r="I195" s="14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9"/>
      <c r="W195" s="38"/>
      <c r="X195" s="38"/>
      <c r="Y195" s="38"/>
      <c r="Z195" s="38"/>
      <c r="AA195" s="38"/>
      <c r="AB195" s="38"/>
      <c r="AC195" s="38"/>
      <c r="AJ195" t="str">
        <f t="shared" si="9"/>
        <v/>
      </c>
    </row>
    <row r="196" spans="6:38" x14ac:dyDescent="0.35">
      <c r="G196" t="s">
        <v>89</v>
      </c>
      <c r="I196" s="1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5" t="s">
        <v>45</v>
      </c>
      <c r="Y196" s="36"/>
      <c r="Z196" s="36"/>
      <c r="AA196" s="36"/>
      <c r="AB196" s="36"/>
      <c r="AC196" s="36"/>
      <c r="AD196" s="11" t="s">
        <v>89</v>
      </c>
      <c r="AE196" s="11" t="s">
        <v>46</v>
      </c>
      <c r="AF196" s="11" t="s">
        <v>118</v>
      </c>
      <c r="AG196" s="11" t="s">
        <v>119</v>
      </c>
      <c r="AH196" t="str">
        <f t="shared" ref="AH196:AH207" si="14">IF(AE196="","",AE196)</f>
        <v>number (0 NK)</v>
      </c>
      <c r="AJ196" t="str">
        <f t="shared" si="9"/>
        <v/>
      </c>
    </row>
    <row r="197" spans="6:38" x14ac:dyDescent="0.35">
      <c r="G197" t="s">
        <v>131</v>
      </c>
      <c r="I197" s="1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 t="s">
        <v>45</v>
      </c>
      <c r="Y197" s="36"/>
      <c r="Z197" s="36"/>
      <c r="AA197" s="36"/>
      <c r="AB197" s="36"/>
      <c r="AC197" s="36"/>
      <c r="AD197" s="11" t="s">
        <v>131</v>
      </c>
      <c r="AE197" s="11" t="s">
        <v>132</v>
      </c>
      <c r="AF197" s="11" t="s">
        <v>131</v>
      </c>
      <c r="AG197" s="11" t="s">
        <v>417</v>
      </c>
      <c r="AH197" t="str">
        <f t="shared" si="14"/>
        <v>number (5 NK)</v>
      </c>
      <c r="AJ197" t="str">
        <f t="shared" si="9"/>
        <v/>
      </c>
      <c r="AL197" t="s">
        <v>417</v>
      </c>
    </row>
    <row r="198" spans="6:38" x14ac:dyDescent="0.35">
      <c r="G198" t="s">
        <v>133</v>
      </c>
      <c r="I198" s="1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 t="s">
        <v>45</v>
      </c>
      <c r="Y198" s="36"/>
      <c r="Z198" s="36"/>
      <c r="AA198" s="36"/>
      <c r="AB198" s="36"/>
      <c r="AC198" s="36"/>
      <c r="AD198" s="11" t="s">
        <v>133</v>
      </c>
      <c r="AE198" s="11" t="s">
        <v>132</v>
      </c>
      <c r="AF198" s="11" t="s">
        <v>133</v>
      </c>
      <c r="AG198" s="11" t="s">
        <v>418</v>
      </c>
      <c r="AH198" t="str">
        <f t="shared" si="14"/>
        <v>number (5 NK)</v>
      </c>
      <c r="AJ198" t="str">
        <f t="shared" si="9"/>
        <v/>
      </c>
      <c r="AL198" t="s">
        <v>418</v>
      </c>
    </row>
    <row r="199" spans="6:38" x14ac:dyDescent="0.35">
      <c r="G199" t="s">
        <v>6</v>
      </c>
      <c r="I199" s="1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 t="s">
        <v>45</v>
      </c>
      <c r="Y199" s="36"/>
      <c r="Z199" s="36"/>
      <c r="AA199" s="36"/>
      <c r="AB199" s="36"/>
      <c r="AC199" s="36"/>
      <c r="AD199" s="11" t="s">
        <v>6</v>
      </c>
      <c r="AE199" s="11" t="s">
        <v>132</v>
      </c>
      <c r="AF199" s="11" t="s">
        <v>6</v>
      </c>
      <c r="AG199" s="11" t="s">
        <v>419</v>
      </c>
      <c r="AH199" t="str">
        <f t="shared" si="14"/>
        <v>number (5 NK)</v>
      </c>
      <c r="AJ199" t="str">
        <f t="shared" si="9"/>
        <v/>
      </c>
      <c r="AL199" t="s">
        <v>419</v>
      </c>
    </row>
    <row r="200" spans="6:38" ht="21" x14ac:dyDescent="0.5">
      <c r="F200" s="15" t="s">
        <v>232</v>
      </c>
      <c r="I200" s="8" t="s">
        <v>233</v>
      </c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40"/>
      <c r="W200" s="38"/>
      <c r="X200" s="38"/>
      <c r="Y200" s="38"/>
      <c r="Z200" s="38"/>
      <c r="AA200" s="38"/>
      <c r="AB200" s="38"/>
      <c r="AC200" s="38"/>
      <c r="AH200" t="str">
        <f t="shared" si="14"/>
        <v/>
      </c>
      <c r="AJ200" t="str">
        <f t="shared" si="9"/>
        <v/>
      </c>
    </row>
    <row r="201" spans="6:38" x14ac:dyDescent="0.35">
      <c r="G201" t="s">
        <v>43</v>
      </c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7"/>
      <c r="W201" s="36"/>
      <c r="X201" s="36"/>
      <c r="Y201" s="35" t="s">
        <v>45</v>
      </c>
      <c r="Z201" s="36"/>
      <c r="AA201" s="36"/>
      <c r="AB201" s="36"/>
      <c r="AC201" s="36"/>
      <c r="AD201" s="11" t="s">
        <v>43</v>
      </c>
      <c r="AE201" s="11" t="s">
        <v>344</v>
      </c>
      <c r="AF201" s="11" t="s">
        <v>43</v>
      </c>
      <c r="AG201" s="11" t="s">
        <v>424</v>
      </c>
      <c r="AH201" t="s">
        <v>343</v>
      </c>
      <c r="AJ201" t="str">
        <f t="shared" si="9"/>
        <v>x</v>
      </c>
      <c r="AL201" t="str">
        <f>"ZI_"&amp;AG201</f>
        <v>ZI_ZI_ART_NR</v>
      </c>
    </row>
    <row r="202" spans="6:38" x14ac:dyDescent="0.35">
      <c r="G202" t="s">
        <v>205</v>
      </c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7"/>
      <c r="W202" s="36"/>
      <c r="X202" s="36"/>
      <c r="Y202" s="36" t="s">
        <v>45</v>
      </c>
      <c r="Z202" s="36"/>
      <c r="AA202" s="36"/>
      <c r="AB202" s="36"/>
      <c r="AC202" s="36"/>
      <c r="AD202" s="11" t="s">
        <v>205</v>
      </c>
      <c r="AE202" s="11" t="s">
        <v>344</v>
      </c>
      <c r="AF202" s="11" t="s">
        <v>205</v>
      </c>
      <c r="AG202" s="11" t="s">
        <v>425</v>
      </c>
      <c r="AH202" t="s">
        <v>343</v>
      </c>
      <c r="AI202" s="12"/>
      <c r="AJ202" t="str">
        <f t="shared" si="9"/>
        <v>x</v>
      </c>
      <c r="AL202" t="str">
        <f t="shared" ref="AL202:AL208" si="15">"ZI_"&amp;AG202</f>
        <v>ZI_ZI_GTIN</v>
      </c>
    </row>
    <row r="203" spans="6:38" x14ac:dyDescent="0.35">
      <c r="G203" t="s">
        <v>57</v>
      </c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7"/>
      <c r="W203" s="36"/>
      <c r="X203" s="36"/>
      <c r="Y203" s="36" t="s">
        <v>45</v>
      </c>
      <c r="Z203" s="36"/>
      <c r="AA203" s="36"/>
      <c r="AB203" s="36"/>
      <c r="AC203" s="36"/>
      <c r="AD203" s="11" t="s">
        <v>57</v>
      </c>
      <c r="AE203" s="11" t="s">
        <v>345</v>
      </c>
      <c r="AF203" s="11" t="s">
        <v>57</v>
      </c>
      <c r="AG203" s="11" t="s">
        <v>426</v>
      </c>
      <c r="AH203" t="s">
        <v>345</v>
      </c>
      <c r="AJ203" t="str">
        <f t="shared" si="9"/>
        <v/>
      </c>
      <c r="AL203" t="str">
        <f t="shared" si="15"/>
        <v>ZI_ZI_NAME</v>
      </c>
    </row>
    <row r="204" spans="6:38" x14ac:dyDescent="0.35">
      <c r="G204" t="s">
        <v>208</v>
      </c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7"/>
      <c r="W204" s="36"/>
      <c r="X204" s="36"/>
      <c r="Y204" s="35" t="s">
        <v>45</v>
      </c>
      <c r="Z204" s="36"/>
      <c r="AA204" s="36"/>
      <c r="AB204" s="36"/>
      <c r="AC204" s="36"/>
      <c r="AD204" s="11" t="s">
        <v>208</v>
      </c>
      <c r="AE204" s="11" t="s">
        <v>209</v>
      </c>
      <c r="AF204" s="11" t="s">
        <v>208</v>
      </c>
      <c r="AG204" s="11" t="s">
        <v>427</v>
      </c>
      <c r="AH204" t="str">
        <f t="shared" si="14"/>
        <v>number (3 NK)</v>
      </c>
      <c r="AJ204" t="str">
        <f t="shared" si="9"/>
        <v/>
      </c>
      <c r="AL204" t="str">
        <f t="shared" si="15"/>
        <v>ZI_ZI_MENGE</v>
      </c>
    </row>
    <row r="205" spans="6:38" x14ac:dyDescent="0.35">
      <c r="G205" t="s">
        <v>212</v>
      </c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7"/>
      <c r="W205" s="36"/>
      <c r="X205" s="36"/>
      <c r="Y205" s="36" t="s">
        <v>45</v>
      </c>
      <c r="Z205" s="36"/>
      <c r="AA205" s="36"/>
      <c r="AB205" s="36"/>
      <c r="AC205" s="36"/>
      <c r="AD205" s="11" t="s">
        <v>212</v>
      </c>
      <c r="AE205" s="11" t="s">
        <v>209</v>
      </c>
      <c r="AF205" s="11" t="s">
        <v>212</v>
      </c>
      <c r="AG205" s="11" t="s">
        <v>428</v>
      </c>
      <c r="AH205" t="str">
        <f t="shared" si="14"/>
        <v>number (3 NK)</v>
      </c>
      <c r="AJ205" t="str">
        <f t="shared" si="9"/>
        <v/>
      </c>
      <c r="AL205" t="str">
        <f t="shared" si="15"/>
        <v>ZI_ZI_FAKTOR</v>
      </c>
    </row>
    <row r="206" spans="6:38" x14ac:dyDescent="0.35">
      <c r="G206" t="s">
        <v>215</v>
      </c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7"/>
      <c r="W206" s="36"/>
      <c r="X206" s="36"/>
      <c r="Y206" s="36" t="s">
        <v>45</v>
      </c>
      <c r="Z206" s="36"/>
      <c r="AA206" s="36"/>
      <c r="AB206" s="36"/>
      <c r="AC206" s="36"/>
      <c r="AD206" s="11" t="s">
        <v>215</v>
      </c>
      <c r="AE206" s="11" t="s">
        <v>343</v>
      </c>
      <c r="AF206" s="11" t="s">
        <v>215</v>
      </c>
      <c r="AG206" s="11" t="s">
        <v>429</v>
      </c>
      <c r="AH206" t="s">
        <v>343</v>
      </c>
      <c r="AJ206" t="str">
        <f t="shared" si="9"/>
        <v/>
      </c>
      <c r="AL206" t="str">
        <f t="shared" si="15"/>
        <v>ZI_ZI_EINHEIT</v>
      </c>
    </row>
    <row r="207" spans="6:38" x14ac:dyDescent="0.35">
      <c r="G207" t="s">
        <v>218</v>
      </c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7"/>
      <c r="W207" s="36"/>
      <c r="X207" s="36"/>
      <c r="Y207" s="36" t="s">
        <v>45</v>
      </c>
      <c r="Z207" s="36"/>
      <c r="AA207" s="36"/>
      <c r="AB207" s="36"/>
      <c r="AC207" s="36"/>
      <c r="AD207" s="11" t="s">
        <v>218</v>
      </c>
      <c r="AE207" s="11" t="s">
        <v>342</v>
      </c>
      <c r="AF207" s="11" t="s">
        <v>218</v>
      </c>
      <c r="AG207" s="11" t="s">
        <v>430</v>
      </c>
      <c r="AH207" t="str">
        <f t="shared" si="14"/>
        <v>string (40)</v>
      </c>
      <c r="AJ207" t="str">
        <f t="shared" si="9"/>
        <v/>
      </c>
      <c r="AL207" t="str">
        <f t="shared" si="15"/>
        <v>ZI_ZI_WARENGR_ID</v>
      </c>
    </row>
    <row r="208" spans="6:38" x14ac:dyDescent="0.35">
      <c r="G208" t="s">
        <v>221</v>
      </c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7"/>
      <c r="W208" s="36"/>
      <c r="X208" s="36"/>
      <c r="Y208" s="36" t="s">
        <v>45</v>
      </c>
      <c r="Z208" s="36"/>
      <c r="AA208" s="36"/>
      <c r="AB208" s="36"/>
      <c r="AC208" s="36"/>
      <c r="AD208" s="11" t="s">
        <v>221</v>
      </c>
      <c r="AE208" s="11" t="s">
        <v>343</v>
      </c>
      <c r="AF208" s="11" t="s">
        <v>221</v>
      </c>
      <c r="AG208" s="11" t="s">
        <v>431</v>
      </c>
      <c r="AH208" t="s">
        <v>343</v>
      </c>
      <c r="AJ208" t="str">
        <f t="shared" si="9"/>
        <v/>
      </c>
      <c r="AL208" t="str">
        <f t="shared" si="15"/>
        <v>ZI_ZI_WARENGR</v>
      </c>
    </row>
    <row r="209" spans="1:38" ht="21" x14ac:dyDescent="0.5">
      <c r="G209" s="15" t="s">
        <v>234</v>
      </c>
      <c r="I209" s="14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9"/>
      <c r="W209" s="38"/>
      <c r="X209" s="38"/>
      <c r="Y209" s="38"/>
      <c r="Z209" s="38"/>
      <c r="AA209" s="38"/>
      <c r="AB209" s="38"/>
      <c r="AC209" s="38"/>
      <c r="AJ209" t="str">
        <f t="shared" si="9"/>
        <v/>
      </c>
    </row>
    <row r="210" spans="1:38" x14ac:dyDescent="0.35">
      <c r="H210" t="s">
        <v>89</v>
      </c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7"/>
      <c r="W210" s="36"/>
      <c r="X210" s="36"/>
      <c r="Y210" s="35" t="s">
        <v>45</v>
      </c>
      <c r="Z210" s="36"/>
      <c r="AA210" s="36"/>
      <c r="AB210" s="36"/>
      <c r="AC210" s="36"/>
      <c r="AD210" s="11" t="s">
        <v>89</v>
      </c>
      <c r="AE210" s="11" t="s">
        <v>46</v>
      </c>
      <c r="AF210" s="11" t="s">
        <v>235</v>
      </c>
      <c r="AG210" s="11" t="s">
        <v>447</v>
      </c>
      <c r="AH210" t="str">
        <f>IF(AE210="","",AE210)</f>
        <v>number (0 NK)</v>
      </c>
      <c r="AJ210" t="str">
        <f t="shared" si="9"/>
        <v/>
      </c>
      <c r="AL210" t="s">
        <v>119</v>
      </c>
    </row>
    <row r="211" spans="1:38" x14ac:dyDescent="0.35">
      <c r="H211" t="s">
        <v>131</v>
      </c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7"/>
      <c r="W211" s="36"/>
      <c r="X211" s="36"/>
      <c r="Y211" s="36" t="s">
        <v>45</v>
      </c>
      <c r="Z211" s="36"/>
      <c r="AA211" s="36"/>
      <c r="AB211" s="36"/>
      <c r="AC211" s="36"/>
      <c r="AD211" s="11" t="s">
        <v>131</v>
      </c>
      <c r="AE211" s="11" t="s">
        <v>132</v>
      </c>
      <c r="AF211" s="11" t="s">
        <v>131</v>
      </c>
      <c r="AG211" s="11" t="s">
        <v>420</v>
      </c>
      <c r="AH211" t="str">
        <f>IF(AE211="","",AE211)</f>
        <v>number (5 NK)</v>
      </c>
      <c r="AJ211" t="str">
        <f t="shared" si="9"/>
        <v/>
      </c>
      <c r="AL211" t="s">
        <v>420</v>
      </c>
    </row>
    <row r="212" spans="1:38" x14ac:dyDescent="0.35">
      <c r="H212" t="s">
        <v>133</v>
      </c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7"/>
      <c r="W212" s="36"/>
      <c r="X212" s="36"/>
      <c r="Y212" s="36" t="s">
        <v>45</v>
      </c>
      <c r="Z212" s="36"/>
      <c r="AA212" s="36"/>
      <c r="AB212" s="36"/>
      <c r="AC212" s="36"/>
      <c r="AD212" s="11" t="s">
        <v>133</v>
      </c>
      <c r="AE212" s="11" t="s">
        <v>132</v>
      </c>
      <c r="AF212" s="11" t="s">
        <v>133</v>
      </c>
      <c r="AG212" s="11" t="s">
        <v>421</v>
      </c>
      <c r="AH212" t="str">
        <f>IF(AE212="","",AE212)</f>
        <v>number (5 NK)</v>
      </c>
      <c r="AJ212" t="str">
        <f t="shared" si="9"/>
        <v/>
      </c>
      <c r="AL212" t="s">
        <v>421</v>
      </c>
    </row>
    <row r="213" spans="1:38" x14ac:dyDescent="0.35">
      <c r="H213" t="s">
        <v>6</v>
      </c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7"/>
      <c r="W213" s="36"/>
      <c r="X213" s="36"/>
      <c r="Y213" s="36" t="s">
        <v>45</v>
      </c>
      <c r="Z213" s="36"/>
      <c r="AA213" s="36"/>
      <c r="AB213" s="36"/>
      <c r="AC213" s="36"/>
      <c r="AD213" s="11" t="s">
        <v>6</v>
      </c>
      <c r="AE213" s="11" t="s">
        <v>132</v>
      </c>
      <c r="AF213" s="11" t="s">
        <v>6</v>
      </c>
      <c r="AG213" s="11" t="s">
        <v>422</v>
      </c>
      <c r="AH213" t="str">
        <f>IF(AE213="","",AE213)</f>
        <v>number (5 NK)</v>
      </c>
      <c r="AJ213" t="str">
        <f t="shared" si="9"/>
        <v/>
      </c>
      <c r="AL213" t="s">
        <v>422</v>
      </c>
    </row>
    <row r="214" spans="1:38" hidden="1" x14ac:dyDescent="0.35">
      <c r="B214" s="16"/>
      <c r="C214" s="16"/>
      <c r="D214" s="16"/>
      <c r="E214" s="16"/>
      <c r="F214" s="16"/>
      <c r="G214" s="16"/>
      <c r="H214" s="16"/>
      <c r="I214" s="21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6"/>
      <c r="W214" s="45"/>
      <c r="X214" s="45"/>
      <c r="Y214" s="45"/>
      <c r="Z214" s="45"/>
      <c r="AA214" s="45"/>
      <c r="AB214" s="45"/>
      <c r="AC214" s="45"/>
      <c r="AD214" s="16"/>
      <c r="AE214" s="16"/>
      <c r="AF214" s="16"/>
      <c r="AG214" s="17"/>
      <c r="AH214" s="16"/>
      <c r="AJ214" t="str">
        <f t="shared" si="9"/>
        <v/>
      </c>
    </row>
    <row r="215" spans="1:38" hidden="1" x14ac:dyDescent="0.35">
      <c r="B215" s="16"/>
      <c r="C215" s="16"/>
      <c r="D215" s="16"/>
      <c r="E215" s="16"/>
      <c r="F215" s="16"/>
      <c r="G215" s="16"/>
      <c r="H215" s="16"/>
      <c r="I215" s="16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1"/>
      <c r="Y215" s="41"/>
      <c r="Z215" s="41"/>
      <c r="AA215" s="41"/>
      <c r="AB215" s="41"/>
      <c r="AC215" s="41"/>
      <c r="AD215" s="17"/>
      <c r="AE215" s="17"/>
      <c r="AF215" s="17"/>
      <c r="AG215" s="17"/>
      <c r="AH215" s="17"/>
      <c r="AJ215" t="str">
        <f t="shared" si="9"/>
        <v/>
      </c>
    </row>
    <row r="216" spans="1:38" hidden="1" x14ac:dyDescent="0.35">
      <c r="A216" s="16"/>
      <c r="B216" s="16"/>
      <c r="C216" s="16"/>
      <c r="D216" s="16"/>
      <c r="E216" s="16"/>
      <c r="F216" s="16"/>
      <c r="G216" s="16"/>
      <c r="H216" s="16"/>
      <c r="I216" s="16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1"/>
      <c r="Y216" s="41"/>
      <c r="Z216" s="41"/>
      <c r="AA216" s="41"/>
      <c r="AB216" s="41"/>
      <c r="AC216" s="41"/>
      <c r="AD216" s="17"/>
      <c r="AE216" s="17"/>
      <c r="AF216" s="17"/>
      <c r="AG216" s="17"/>
      <c r="AH216" s="17"/>
      <c r="AJ216" t="str">
        <f t="shared" si="9"/>
        <v/>
      </c>
    </row>
    <row r="217" spans="1:38" hidden="1" x14ac:dyDescent="0.35">
      <c r="A217" s="16"/>
      <c r="B217" s="16"/>
      <c r="C217" s="16"/>
      <c r="D217" s="16"/>
      <c r="E217" s="16"/>
      <c r="F217" s="16"/>
      <c r="G217" s="16"/>
      <c r="H217" s="16"/>
      <c r="I217" s="16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1"/>
      <c r="Y217" s="41"/>
      <c r="Z217" s="41"/>
      <c r="AA217" s="41"/>
      <c r="AB217" s="41"/>
      <c r="AC217" s="41"/>
      <c r="AD217" s="17"/>
      <c r="AE217" s="17"/>
      <c r="AF217" s="17"/>
      <c r="AG217" s="17"/>
      <c r="AH217" s="17"/>
      <c r="AJ217" t="str">
        <f t="shared" si="9"/>
        <v/>
      </c>
    </row>
    <row r="218" spans="1:38" hidden="1" x14ac:dyDescent="0.35">
      <c r="A218" s="16"/>
      <c r="B218" s="16"/>
      <c r="C218" s="16"/>
      <c r="D218" s="16"/>
      <c r="E218" s="16"/>
      <c r="F218" s="16"/>
      <c r="G218" s="16"/>
      <c r="H218" s="16"/>
      <c r="I218" s="16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2"/>
      <c r="W218" s="41"/>
      <c r="X218" s="41"/>
      <c r="Y218" s="41"/>
      <c r="Z218" s="41"/>
      <c r="AA218" s="41"/>
      <c r="AB218" s="41"/>
      <c r="AC218" s="41"/>
      <c r="AD218" s="17"/>
      <c r="AE218" s="17"/>
      <c r="AF218" s="17"/>
      <c r="AG218" s="17"/>
      <c r="AH218" s="17"/>
      <c r="AJ218" t="str">
        <f t="shared" si="9"/>
        <v/>
      </c>
    </row>
    <row r="219" spans="1:38" hidden="1" x14ac:dyDescent="0.35">
      <c r="A219" s="16"/>
      <c r="B219" s="16"/>
      <c r="C219" s="16"/>
      <c r="D219" s="16"/>
      <c r="E219" s="16"/>
      <c r="F219" s="16"/>
      <c r="G219" s="16"/>
      <c r="H219" s="16"/>
      <c r="I219" s="21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6"/>
      <c r="W219" s="45"/>
      <c r="X219" s="45"/>
      <c r="Y219" s="45"/>
      <c r="Z219" s="45"/>
      <c r="AA219" s="45"/>
      <c r="AB219" s="45"/>
      <c r="AC219" s="45"/>
      <c r="AD219" s="16"/>
      <c r="AE219" s="16"/>
      <c r="AF219" s="16"/>
      <c r="AG219" s="17"/>
      <c r="AH219" s="16"/>
      <c r="AJ219" t="str">
        <f t="shared" si="9"/>
        <v/>
      </c>
    </row>
    <row r="220" spans="1:38" hidden="1" x14ac:dyDescent="0.35">
      <c r="A220" s="16"/>
      <c r="B220" s="16"/>
      <c r="C220" s="16"/>
      <c r="D220" s="16"/>
      <c r="E220" s="16"/>
      <c r="F220" s="16"/>
      <c r="G220" s="16"/>
      <c r="H220" s="16"/>
      <c r="I220" s="16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1"/>
      <c r="Y220" s="41"/>
      <c r="Z220" s="41"/>
      <c r="AA220" s="41"/>
      <c r="AB220" s="41"/>
      <c r="AC220" s="41"/>
      <c r="AD220" s="17"/>
      <c r="AE220" s="17"/>
      <c r="AF220" s="17"/>
      <c r="AG220" s="17"/>
      <c r="AH220" s="17"/>
      <c r="AJ220" t="str">
        <f t="shared" si="9"/>
        <v/>
      </c>
    </row>
    <row r="221" spans="1:38" hidden="1" x14ac:dyDescent="0.35">
      <c r="A221" s="16"/>
      <c r="B221" s="16"/>
      <c r="C221" s="16"/>
      <c r="D221" s="16"/>
      <c r="E221" s="16"/>
      <c r="F221" s="16"/>
      <c r="G221" s="16"/>
      <c r="H221" s="16"/>
      <c r="I221" s="16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1"/>
      <c r="Y221" s="41"/>
      <c r="Z221" s="41"/>
      <c r="AA221" s="41"/>
      <c r="AB221" s="41"/>
      <c r="AC221" s="41"/>
      <c r="AD221" s="17"/>
      <c r="AE221" s="17"/>
      <c r="AF221" s="17"/>
      <c r="AG221" s="17"/>
      <c r="AH221" s="17"/>
      <c r="AJ221" t="str">
        <f t="shared" ref="AJ221:AJ231" si="16">IF(AH221&lt;&gt;AE221,"x","")</f>
        <v/>
      </c>
    </row>
    <row r="222" spans="1:38" hidden="1" x14ac:dyDescent="0.35">
      <c r="A222" s="16"/>
      <c r="B222" s="16"/>
      <c r="C222" s="16"/>
      <c r="D222" s="16"/>
      <c r="E222" s="16"/>
      <c r="F222" s="16"/>
      <c r="G222" s="16"/>
      <c r="H222" s="16"/>
      <c r="I222" s="16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1"/>
      <c r="Y222" s="41"/>
      <c r="Z222" s="41"/>
      <c r="AA222" s="41"/>
      <c r="AB222" s="41"/>
      <c r="AC222" s="41"/>
      <c r="AD222" s="17"/>
      <c r="AE222" s="17"/>
      <c r="AF222" s="17"/>
      <c r="AG222" s="17"/>
      <c r="AH222" s="17"/>
      <c r="AJ222" t="str">
        <f t="shared" si="16"/>
        <v/>
      </c>
    </row>
    <row r="223" spans="1:38" hidden="1" x14ac:dyDescent="0.35">
      <c r="A223" s="16"/>
      <c r="B223" s="16"/>
      <c r="C223" s="16"/>
      <c r="D223" s="16"/>
      <c r="E223" s="16"/>
      <c r="F223" s="16"/>
      <c r="G223" s="16"/>
      <c r="H223" s="16"/>
      <c r="I223" s="16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2"/>
      <c r="W223" s="41"/>
      <c r="X223" s="41"/>
      <c r="Y223" s="41"/>
      <c r="Z223" s="41"/>
      <c r="AA223" s="41"/>
      <c r="AB223" s="41"/>
      <c r="AC223" s="41"/>
      <c r="AD223" s="17"/>
      <c r="AE223" s="17"/>
      <c r="AF223" s="17"/>
      <c r="AG223" s="17"/>
      <c r="AH223" s="17"/>
      <c r="AJ223" t="str">
        <f t="shared" si="16"/>
        <v/>
      </c>
    </row>
    <row r="224" spans="1:38" hidden="1" x14ac:dyDescent="0.35">
      <c r="A224" s="1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7"/>
      <c r="W224" s="36"/>
      <c r="X224" s="36"/>
      <c r="Y224" s="36"/>
      <c r="Z224" s="36"/>
      <c r="AA224" s="36"/>
      <c r="AB224" s="36"/>
      <c r="AC224" s="36"/>
      <c r="AJ224" t="str">
        <f t="shared" si="16"/>
        <v/>
      </c>
    </row>
    <row r="225" spans="1:36" hidden="1" x14ac:dyDescent="0.35">
      <c r="A225" s="1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7"/>
      <c r="W225" s="36"/>
      <c r="X225" s="36"/>
      <c r="Y225" s="36"/>
      <c r="Z225" s="36"/>
      <c r="AA225" s="36"/>
      <c r="AB225" s="36"/>
      <c r="AC225" s="36"/>
      <c r="AJ225" t="str">
        <f t="shared" si="16"/>
        <v/>
      </c>
    </row>
    <row r="226" spans="1:36" hidden="1" x14ac:dyDescent="0.35"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7"/>
      <c r="W226" s="36"/>
      <c r="X226" s="36"/>
      <c r="Y226" s="36"/>
      <c r="Z226" s="36"/>
      <c r="AA226" s="36"/>
      <c r="AB226" s="36"/>
      <c r="AC226" s="36"/>
      <c r="AJ226" t="str">
        <f t="shared" si="16"/>
        <v/>
      </c>
    </row>
    <row r="227" spans="1:36" x14ac:dyDescent="0.35">
      <c r="I227" t="s">
        <v>236</v>
      </c>
      <c r="J227" s="36"/>
      <c r="K227" s="47" t="s">
        <v>237</v>
      </c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7"/>
      <c r="W227" s="36"/>
      <c r="X227" s="36"/>
      <c r="Y227" s="36"/>
      <c r="Z227" s="36"/>
      <c r="AA227" s="36"/>
      <c r="AB227" s="36"/>
      <c r="AC227" s="36"/>
      <c r="AJ227" t="str">
        <f t="shared" si="16"/>
        <v/>
      </c>
    </row>
    <row r="228" spans="1:36" x14ac:dyDescent="0.35">
      <c r="K228" s="22" t="s">
        <v>238</v>
      </c>
      <c r="AJ228" t="str">
        <f t="shared" si="16"/>
        <v/>
      </c>
    </row>
    <row r="229" spans="1:36" x14ac:dyDescent="0.35">
      <c r="J229" s="22"/>
      <c r="K229" s="31" t="s">
        <v>381</v>
      </c>
      <c r="AJ229" t="str">
        <f t="shared" si="16"/>
        <v/>
      </c>
    </row>
    <row r="230" spans="1:36" x14ac:dyDescent="0.35">
      <c r="K230" s="50" t="s">
        <v>449</v>
      </c>
      <c r="L230" s="24" t="s">
        <v>450</v>
      </c>
      <c r="AJ230" t="str">
        <f t="shared" si="16"/>
        <v/>
      </c>
    </row>
    <row r="231" spans="1:36" x14ac:dyDescent="0.35">
      <c r="K231" s="52" t="s">
        <v>452</v>
      </c>
      <c r="AJ231" t="str">
        <f t="shared" si="16"/>
        <v/>
      </c>
    </row>
    <row r="236" spans="1:36" hidden="1" x14ac:dyDescent="0.35">
      <c r="C236" s="23" t="s">
        <v>239</v>
      </c>
      <c r="D236" s="23"/>
      <c r="E236" s="23"/>
      <c r="F236" s="23"/>
      <c r="G236" s="23"/>
    </row>
    <row r="237" spans="1:36" hidden="1" x14ac:dyDescent="0.35">
      <c r="C237" s="23" t="s">
        <v>240</v>
      </c>
      <c r="D237" s="23"/>
      <c r="E237" s="23"/>
      <c r="F237" s="23"/>
      <c r="G237" s="23"/>
    </row>
    <row r="238" spans="1:36" hidden="1" x14ac:dyDescent="0.35">
      <c r="C238" s="23" t="s">
        <v>241</v>
      </c>
      <c r="D238" s="23"/>
      <c r="E238" s="23"/>
      <c r="F238" s="23"/>
      <c r="G238" s="23"/>
    </row>
    <row r="239" spans="1:36" hidden="1" x14ac:dyDescent="0.35">
      <c r="C239" s="23" t="s">
        <v>242</v>
      </c>
      <c r="D239" s="23"/>
      <c r="E239" s="23"/>
      <c r="F239" s="23"/>
      <c r="G239" s="23"/>
    </row>
    <row r="240" spans="1:36" hidden="1" x14ac:dyDescent="0.35">
      <c r="C240" s="23" t="s">
        <v>243</v>
      </c>
      <c r="D240" s="23"/>
      <c r="E240" s="23"/>
      <c r="F240" s="23"/>
      <c r="G240" s="23"/>
    </row>
    <row r="241" spans="3:7" hidden="1" x14ac:dyDescent="0.35">
      <c r="C241" s="23" t="s">
        <v>244</v>
      </c>
      <c r="D241" s="23"/>
      <c r="E241" s="23"/>
      <c r="F241" s="23"/>
      <c r="G241" s="23"/>
    </row>
  </sheetData>
  <autoFilter ref="J3:AC229" xr:uid="{00000000-0009-0000-0000-000000000000}"/>
  <mergeCells count="6">
    <mergeCell ref="D69:E71"/>
    <mergeCell ref="T1:AC1"/>
    <mergeCell ref="J1:P1"/>
    <mergeCell ref="Q1:S1"/>
    <mergeCell ref="A2:G2"/>
    <mergeCell ref="A3:G3"/>
  </mergeCells>
  <printOptions horizontalCentered="1" verticalCentered="1"/>
  <pageMargins left="0.70866141732283472" right="0.70866141732283472" top="0.78740157480314965" bottom="0.78740157480314965" header="0.51181102362204722" footer="0.51181102362204722"/>
  <pageSetup paperSize="8" scale="40" firstPageNumber="0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4"/>
  <sheetViews>
    <sheetView zoomScaleNormal="100" workbookViewId="0">
      <selection activeCell="H10" sqref="H10"/>
    </sheetView>
  </sheetViews>
  <sheetFormatPr baseColWidth="10" defaultColWidth="9.1796875" defaultRowHeight="14.5" x14ac:dyDescent="0.35"/>
  <cols>
    <col min="1" max="1" width="22.54296875"/>
    <col min="2" max="2" width="22"/>
    <col min="3" max="3" width="3.26953125"/>
    <col min="4" max="5" width="4.54296875" style="1"/>
    <col min="6" max="6" width="3"/>
    <col min="7" max="7" width="8" style="1"/>
    <col min="8" max="8" width="11.54296875"/>
    <col min="9" max="9" width="3.453125"/>
    <col min="10" max="10" width="5.81640625" style="1"/>
    <col min="11" max="11" width="13.54296875"/>
    <col min="13" max="18" width="11.1796875" style="24"/>
    <col min="257" max="257" width="22.54296875"/>
    <col min="258" max="258" width="22"/>
    <col min="259" max="259" width="3.26953125"/>
    <col min="260" max="261" width="4.54296875"/>
    <col min="262" max="262" width="3"/>
    <col min="263" max="263" width="8"/>
    <col min="264" max="264" width="11.54296875"/>
    <col min="265" max="265" width="3.453125"/>
    <col min="266" max="266" width="5.81640625"/>
    <col min="267" max="267" width="13.54296875"/>
    <col min="269" max="274" width="11.1796875"/>
    <col min="513" max="513" width="22.54296875"/>
    <col min="514" max="514" width="22"/>
    <col min="515" max="515" width="3.26953125"/>
    <col min="516" max="517" width="4.54296875"/>
    <col min="518" max="518" width="3"/>
    <col min="519" max="519" width="8"/>
    <col min="520" max="520" width="11.54296875"/>
    <col min="521" max="521" width="3.453125"/>
    <col min="522" max="522" width="5.81640625"/>
    <col min="523" max="523" width="13.54296875"/>
    <col min="525" max="530" width="11.1796875"/>
    <col min="769" max="769" width="22.54296875"/>
    <col min="770" max="770" width="22"/>
    <col min="771" max="771" width="3.26953125"/>
    <col min="772" max="773" width="4.54296875"/>
    <col min="774" max="774" width="3"/>
    <col min="775" max="775" width="8"/>
    <col min="776" max="776" width="11.54296875"/>
    <col min="777" max="777" width="3.453125"/>
    <col min="778" max="778" width="5.81640625"/>
    <col min="779" max="779" width="13.54296875"/>
    <col min="781" max="786" width="11.1796875"/>
  </cols>
  <sheetData>
    <row r="1" spans="1:18" x14ac:dyDescent="0.35">
      <c r="M1" s="25" t="s">
        <v>245</v>
      </c>
      <c r="N1" s="25"/>
      <c r="O1" s="25"/>
      <c r="P1" s="25"/>
    </row>
    <row r="2" spans="1:18" x14ac:dyDescent="0.35">
      <c r="A2" s="26" t="s">
        <v>246</v>
      </c>
      <c r="M2" s="25" t="s">
        <v>247</v>
      </c>
      <c r="N2" s="25"/>
      <c r="O2" s="25"/>
      <c r="P2" s="25"/>
    </row>
    <row r="3" spans="1:18" x14ac:dyDescent="0.35">
      <c r="M3" s="25" t="s">
        <v>248</v>
      </c>
      <c r="N3" s="25"/>
      <c r="O3" s="25"/>
      <c r="P3" s="25"/>
    </row>
    <row r="4" spans="1:18" x14ac:dyDescent="0.35">
      <c r="A4" t="s">
        <v>249</v>
      </c>
      <c r="B4" s="27" t="s">
        <v>294</v>
      </c>
      <c r="M4" s="25"/>
      <c r="N4" s="25" t="s">
        <v>250</v>
      </c>
      <c r="O4" s="25"/>
      <c r="P4" s="25"/>
    </row>
    <row r="5" spans="1:18" x14ac:dyDescent="0.35">
      <c r="A5" t="s">
        <v>251</v>
      </c>
      <c r="B5" s="27" t="s">
        <v>294</v>
      </c>
      <c r="M5" s="25"/>
      <c r="N5" s="25" t="s">
        <v>252</v>
      </c>
      <c r="O5" s="25"/>
      <c r="P5" s="25"/>
    </row>
    <row r="6" spans="1:18" x14ac:dyDescent="0.35">
      <c r="A6" t="s">
        <v>253</v>
      </c>
      <c r="B6" s="27" t="s">
        <v>295</v>
      </c>
      <c r="M6" s="25"/>
      <c r="N6" s="25"/>
      <c r="O6" s="25" t="s">
        <v>254</v>
      </c>
      <c r="P6" s="25"/>
    </row>
    <row r="7" spans="1:18" x14ac:dyDescent="0.35">
      <c r="A7" t="s">
        <v>255</v>
      </c>
      <c r="B7" s="27">
        <v>2</v>
      </c>
      <c r="M7" s="25"/>
      <c r="N7" s="25"/>
      <c r="O7" s="25" t="s">
        <v>256</v>
      </c>
      <c r="P7" s="25"/>
    </row>
    <row r="8" spans="1:18" x14ac:dyDescent="0.35">
      <c r="A8" t="s">
        <v>257</v>
      </c>
      <c r="B8" s="27" t="s">
        <v>258</v>
      </c>
      <c r="M8" s="25"/>
      <c r="N8" s="25"/>
      <c r="O8" s="25" t="s">
        <v>259</v>
      </c>
      <c r="P8" s="25"/>
    </row>
    <row r="9" spans="1:18" x14ac:dyDescent="0.35">
      <c r="A9" t="s">
        <v>260</v>
      </c>
      <c r="B9" s="27" t="s">
        <v>261</v>
      </c>
      <c r="H9" s="27" t="s">
        <v>262</v>
      </c>
      <c r="J9" s="1" t="s">
        <v>263</v>
      </c>
      <c r="M9" s="25"/>
      <c r="N9" s="25" t="s">
        <v>264</v>
      </c>
      <c r="O9" s="25"/>
      <c r="P9" s="25"/>
    </row>
    <row r="10" spans="1:18" x14ac:dyDescent="0.35">
      <c r="A10" t="s">
        <v>265</v>
      </c>
      <c r="B10" s="27"/>
      <c r="M10" s="25"/>
      <c r="N10" s="25" t="s">
        <v>266</v>
      </c>
      <c r="O10" s="25"/>
      <c r="P10" s="25"/>
    </row>
    <row r="11" spans="1:18" x14ac:dyDescent="0.35">
      <c r="A11" t="s">
        <v>267</v>
      </c>
      <c r="B11" s="27" t="s">
        <v>268</v>
      </c>
      <c r="D11" s="1" t="s">
        <v>269</v>
      </c>
      <c r="M11" s="25"/>
      <c r="N11" s="25"/>
      <c r="O11" s="25" t="s">
        <v>270</v>
      </c>
      <c r="P11" s="25"/>
    </row>
    <row r="12" spans="1:18" x14ac:dyDescent="0.35">
      <c r="A12" t="s">
        <v>271</v>
      </c>
      <c r="B12" s="27" t="s">
        <v>272</v>
      </c>
      <c r="D12" s="1" t="s">
        <v>273</v>
      </c>
      <c r="M12" s="25"/>
      <c r="N12" s="25"/>
      <c r="O12" s="25" t="s">
        <v>274</v>
      </c>
      <c r="P12" s="25"/>
    </row>
    <row r="13" spans="1:18" ht="35.9" customHeight="1" x14ac:dyDescent="0.35">
      <c r="A13" s="26" t="s">
        <v>275</v>
      </c>
      <c r="D13" s="64" t="s">
        <v>276</v>
      </c>
      <c r="E13" s="64"/>
      <c r="G13" s="64" t="s">
        <v>277</v>
      </c>
      <c r="H13" s="64"/>
      <c r="J13" s="64" t="s">
        <v>278</v>
      </c>
      <c r="K13" s="64"/>
      <c r="M13" s="25"/>
      <c r="N13" s="25"/>
      <c r="O13" s="25"/>
      <c r="P13" s="25" t="str">
        <f>"&lt;URL&gt;"&amp;B4&amp;"&lt;/URL&gt;"</f>
        <v>&lt;URL&gt;xyz.csv&lt;/URL&gt;</v>
      </c>
    </row>
    <row r="14" spans="1:18" x14ac:dyDescent="0.35">
      <c r="M14" s="25"/>
      <c r="N14" s="25"/>
      <c r="O14" s="25"/>
      <c r="P14" s="25" t="str">
        <f>"&lt;Name&gt;"&amp;B6&amp;"&lt;/Name&gt;"</f>
        <v>&lt;Name&gt;xyz&lt;/Name&gt;</v>
      </c>
    </row>
    <row r="15" spans="1:18" s="1" customFormat="1" x14ac:dyDescent="0.35">
      <c r="A15" s="1" t="s">
        <v>279</v>
      </c>
      <c r="B15" s="1" t="s">
        <v>280</v>
      </c>
      <c r="D15" s="1" t="s">
        <v>281</v>
      </c>
      <c r="E15" s="1" t="s">
        <v>282</v>
      </c>
      <c r="G15" s="1" t="s">
        <v>283</v>
      </c>
      <c r="H15" s="1" t="s">
        <v>284</v>
      </c>
      <c r="J15" s="1" t="s">
        <v>285</v>
      </c>
      <c r="K15" s="1" t="s">
        <v>286</v>
      </c>
      <c r="M15" s="25"/>
      <c r="N15" s="25"/>
      <c r="O15" s="25"/>
      <c r="P15" s="25" t="str">
        <f>IF(B7="","&lt;Description&gt;"&amp;B5&amp;"&lt;/Description&gt;"&amp;H9&amp;"&lt;DecimalSymbol&gt;"&amp;B8&amp;"&lt;/DecimalSymbol&gt;&lt;UTF8/&gt;&lt;DigitGroupingSymbol&gt;"&amp;B9&amp;"&lt;/DigitGroupingSymbol&gt;&lt;VariableLength&gt;&lt;ColumnDelimiter&gt;"&amp;B11&amp;"&lt;/ColumnDelimiter&gt;&lt;RecordDelimiter&gt;"&amp;B12&amp;"&lt;/RecordDelimiter&gt;&lt;TextEncapsulator&gt;"&amp;B10&amp;"&lt;/TextEncapsulator&gt;","&lt;Description&gt;"&amp;B5&amp;"&lt;/Description&gt;"&amp;H9&amp;"&lt;DecimalSymbol&gt;"&amp;B8&amp;"&lt;/DecimalSymbol&gt;&lt;DigitGroupingSymbol&gt;"&amp;B9&amp;"&lt;/DigitGroupingSymbol&gt;&lt;Range&gt;&lt;From&gt;"&amp;B7&amp;"&lt;/From&gt;&lt;/Range&gt;&lt;VariableLength&gt;&lt;ColumnDelimiter&gt;"&amp;B11&amp;"&lt;/ColumnDelimiter&gt;&lt;RecordDelimiter&gt;"&amp;B12&amp;"&lt;/RecordDelimiter&gt;&lt;TextEncapsulator&gt;"&amp;B10&amp;"&lt;/TextEncapsulator&gt;")</f>
        <v>&lt;Description&gt;xyz.csv&lt;/Description&gt;&lt;UTF8/&gt;&lt;DecimalSymbol&gt;,&lt;/DecimalSymbol&gt;&lt;DigitGroupingSymbol&gt;.&lt;/DigitGroupingSymbol&gt;&lt;Range&gt;&lt;From&gt;2&lt;/From&gt;&lt;/Range&gt;&lt;VariableLength&gt;&lt;ColumnDelimiter&gt;&amp;#59;&lt;/ColumnDelimiter&gt;&lt;RecordDelimiter&gt;&amp;#13;&amp;#10;&lt;/RecordDelimiter&gt;&lt;TextEncapsulator&gt;&lt;/TextEncapsulator&gt;</v>
      </c>
      <c r="Q15" s="24"/>
      <c r="R15" s="24"/>
    </row>
    <row r="16" spans="1:18" x14ac:dyDescent="0.35">
      <c r="A16" s="28"/>
      <c r="B16" s="28"/>
      <c r="D16" s="27"/>
      <c r="E16" s="27"/>
      <c r="G16" s="27"/>
      <c r="H16" s="29"/>
      <c r="J16" s="27"/>
      <c r="K16" s="29"/>
      <c r="M16" s="25"/>
      <c r="N16" s="25"/>
      <c r="O16" s="25"/>
      <c r="P16" s="25" t="str">
        <f t="shared" ref="P16:P47" si="0">IF(A16="","",IF(D16="x","&lt;VariableColumn&gt;&lt;Name&gt;"&amp;A16&amp;"&lt;/Name&gt;&lt;Description&gt;"&amp;B16&amp;"&lt;/Description&gt;&lt;Numeric&gt;&lt;Accuracy&gt;"&amp;E16&amp;"&lt;/Accuracy&gt;&lt;/Numeric&gt;&lt;/VariableColumn&gt;",IF(G16="x","&lt;VariableColumn&gt;&lt;Name&gt;"&amp;A16&amp;"&lt;/Name&gt;&lt;Description&gt;"&amp;B16&amp;"&lt;/Description&gt;&lt;AlphaNumeric/&gt;"&amp;IF(H16&gt;0,"&lt;MaxLength&gt;"&amp;H16&amp;"&lt;/MaxLength&gt;","")&amp;"&lt;/VariableColumn&gt;",IF(J16="x","&lt;VariableColumn&gt;&lt;Name&gt;"&amp;A16&amp;"&lt;/Name&gt;&lt;Description&gt;"&amp;B16&amp;"&lt;/Description&gt;&lt;Date&gt;&lt;Format&gt;"&amp;K16&amp;"&lt;/Format&gt;&lt;/Date&gt;&lt;/VariableColumn&gt;",""))))</f>
        <v/>
      </c>
    </row>
    <row r="17" spans="1:16" x14ac:dyDescent="0.35">
      <c r="A17" s="28"/>
      <c r="B17" s="28"/>
      <c r="D17" s="27"/>
      <c r="E17" s="27"/>
      <c r="G17" s="27"/>
      <c r="H17" s="29"/>
      <c r="J17" s="27"/>
      <c r="K17" s="29"/>
      <c r="M17" s="25"/>
      <c r="N17" s="25"/>
      <c r="O17" s="25"/>
      <c r="P17" s="25" t="str">
        <f t="shared" si="0"/>
        <v/>
      </c>
    </row>
    <row r="18" spans="1:16" x14ac:dyDescent="0.35">
      <c r="A18" s="28"/>
      <c r="B18" s="28"/>
      <c r="D18" s="27"/>
      <c r="E18" s="27"/>
      <c r="G18" s="27"/>
      <c r="H18" s="29"/>
      <c r="J18" s="27"/>
      <c r="K18" s="29"/>
      <c r="M18" s="25"/>
      <c r="N18" s="25"/>
      <c r="O18" s="25"/>
      <c r="P18" s="25" t="str">
        <f t="shared" si="0"/>
        <v/>
      </c>
    </row>
    <row r="19" spans="1:16" x14ac:dyDescent="0.35">
      <c r="A19" s="28"/>
      <c r="B19" s="28"/>
      <c r="D19" s="27"/>
      <c r="E19" s="27"/>
      <c r="G19" s="27"/>
      <c r="H19" s="29"/>
      <c r="J19" s="27"/>
      <c r="K19" s="29"/>
      <c r="M19" s="25"/>
      <c r="N19" s="25"/>
      <c r="O19" s="25"/>
      <c r="P19" s="25" t="str">
        <f t="shared" si="0"/>
        <v/>
      </c>
    </row>
    <row r="20" spans="1:16" x14ac:dyDescent="0.35">
      <c r="A20" s="28"/>
      <c r="B20" s="28"/>
      <c r="D20" s="27"/>
      <c r="E20" s="27"/>
      <c r="G20" s="27"/>
      <c r="H20" s="29"/>
      <c r="J20" s="27"/>
      <c r="K20" s="29"/>
      <c r="M20" s="25"/>
      <c r="N20" s="25"/>
      <c r="O20" s="25"/>
      <c r="P20" s="25" t="str">
        <f t="shared" si="0"/>
        <v/>
      </c>
    </row>
    <row r="21" spans="1:16" x14ac:dyDescent="0.35">
      <c r="A21" s="28"/>
      <c r="B21" s="28"/>
      <c r="D21" s="27"/>
      <c r="E21" s="27"/>
      <c r="G21" s="27"/>
      <c r="H21" s="29"/>
      <c r="J21" s="27"/>
      <c r="K21" s="29"/>
      <c r="M21" s="25"/>
      <c r="N21" s="25"/>
      <c r="O21" s="25"/>
      <c r="P21" s="25" t="str">
        <f t="shared" si="0"/>
        <v/>
      </c>
    </row>
    <row r="22" spans="1:16" x14ac:dyDescent="0.35">
      <c r="A22" s="28"/>
      <c r="B22" s="28"/>
      <c r="D22" s="27"/>
      <c r="E22" s="27"/>
      <c r="G22" s="27"/>
      <c r="H22" s="29"/>
      <c r="J22" s="27"/>
      <c r="K22" s="29"/>
      <c r="M22" s="25"/>
      <c r="N22" s="25"/>
      <c r="O22" s="25"/>
      <c r="P22" s="25" t="str">
        <f t="shared" si="0"/>
        <v/>
      </c>
    </row>
    <row r="23" spans="1:16" ht="12.75" customHeight="1" x14ac:dyDescent="0.35">
      <c r="A23" s="28"/>
      <c r="B23" s="28"/>
      <c r="D23" s="27"/>
      <c r="E23" s="27"/>
      <c r="G23" s="27"/>
      <c r="H23" s="29"/>
      <c r="J23" s="27"/>
      <c r="K23" s="29"/>
      <c r="M23" s="25"/>
      <c r="N23" s="25"/>
      <c r="O23" s="25"/>
      <c r="P23" s="25" t="str">
        <f t="shared" si="0"/>
        <v/>
      </c>
    </row>
    <row r="24" spans="1:16" x14ac:dyDescent="0.35">
      <c r="A24" s="28"/>
      <c r="B24" s="28"/>
      <c r="D24" s="27"/>
      <c r="E24" s="27"/>
      <c r="G24" s="27"/>
      <c r="H24" s="29"/>
      <c r="J24" s="27"/>
      <c r="K24" s="29"/>
      <c r="M24" s="25"/>
      <c r="N24" s="25"/>
      <c r="O24" s="25"/>
      <c r="P24" s="25" t="str">
        <f t="shared" si="0"/>
        <v/>
      </c>
    </row>
    <row r="25" spans="1:16" x14ac:dyDescent="0.35">
      <c r="A25" s="28"/>
      <c r="B25" s="28"/>
      <c r="D25" s="27"/>
      <c r="E25" s="27"/>
      <c r="G25" s="27"/>
      <c r="H25" s="29"/>
      <c r="J25" s="27"/>
      <c r="K25" s="29"/>
      <c r="L25" t="s">
        <v>287</v>
      </c>
      <c r="M25" s="25"/>
      <c r="N25" s="25"/>
      <c r="O25" s="25"/>
      <c r="P25" s="25" t="str">
        <f t="shared" si="0"/>
        <v/>
      </c>
    </row>
    <row r="26" spans="1:16" x14ac:dyDescent="0.35">
      <c r="A26" s="28"/>
      <c r="B26" s="28"/>
      <c r="D26" s="27"/>
      <c r="E26" s="27"/>
      <c r="G26" s="27"/>
      <c r="H26" s="29"/>
      <c r="J26" s="27"/>
      <c r="K26" s="29"/>
      <c r="M26" s="25"/>
      <c r="N26" s="25"/>
      <c r="O26" s="25"/>
      <c r="P26" s="25" t="str">
        <f t="shared" si="0"/>
        <v/>
      </c>
    </row>
    <row r="27" spans="1:16" x14ac:dyDescent="0.35">
      <c r="A27" s="28"/>
      <c r="B27" s="28"/>
      <c r="D27" s="27"/>
      <c r="E27" s="27"/>
      <c r="G27" s="27"/>
      <c r="H27" s="29"/>
      <c r="J27" s="27"/>
      <c r="K27" s="29"/>
      <c r="M27" s="25"/>
      <c r="N27" s="25"/>
      <c r="O27" s="25"/>
      <c r="P27" s="25" t="str">
        <f t="shared" si="0"/>
        <v/>
      </c>
    </row>
    <row r="28" spans="1:16" x14ac:dyDescent="0.35">
      <c r="A28" s="28"/>
      <c r="B28" s="28"/>
      <c r="D28" s="27"/>
      <c r="E28" s="27"/>
      <c r="G28" s="27"/>
      <c r="H28" s="29"/>
      <c r="J28" s="27"/>
      <c r="K28" s="29"/>
      <c r="M28" s="25"/>
      <c r="N28" s="25"/>
      <c r="O28" s="25"/>
      <c r="P28" s="25" t="str">
        <f t="shared" si="0"/>
        <v/>
      </c>
    </row>
    <row r="29" spans="1:16" x14ac:dyDescent="0.35">
      <c r="A29" s="28"/>
      <c r="B29" s="28"/>
      <c r="D29" s="27"/>
      <c r="E29" s="27"/>
      <c r="G29" s="27"/>
      <c r="H29" s="29"/>
      <c r="J29" s="27"/>
      <c r="K29" s="29"/>
      <c r="M29" s="25"/>
      <c r="N29" s="25"/>
      <c r="O29" s="25"/>
      <c r="P29" s="25" t="str">
        <f t="shared" si="0"/>
        <v/>
      </c>
    </row>
    <row r="30" spans="1:16" x14ac:dyDescent="0.35">
      <c r="A30" s="28"/>
      <c r="B30" s="28"/>
      <c r="D30" s="27"/>
      <c r="E30" s="27"/>
      <c r="G30" s="27"/>
      <c r="H30" s="29"/>
      <c r="J30" s="27"/>
      <c r="K30" s="29"/>
      <c r="M30" s="25"/>
      <c r="N30" s="25"/>
      <c r="O30" s="25"/>
      <c r="P30" s="25" t="str">
        <f t="shared" si="0"/>
        <v/>
      </c>
    </row>
    <row r="31" spans="1:16" x14ac:dyDescent="0.35">
      <c r="A31" s="28"/>
      <c r="B31" s="28"/>
      <c r="D31" s="27"/>
      <c r="E31" s="27"/>
      <c r="G31" s="27"/>
      <c r="H31" s="29"/>
      <c r="J31" s="27"/>
      <c r="K31" s="29"/>
      <c r="M31" s="25"/>
      <c r="N31" s="25"/>
      <c r="O31" s="25"/>
      <c r="P31" s="25" t="str">
        <f t="shared" si="0"/>
        <v/>
      </c>
    </row>
    <row r="32" spans="1:16" x14ac:dyDescent="0.35">
      <c r="A32" s="28"/>
      <c r="B32" s="28"/>
      <c r="D32" s="27"/>
      <c r="E32" s="27"/>
      <c r="G32" s="27"/>
      <c r="H32" s="29"/>
      <c r="J32" s="27"/>
      <c r="K32" s="29"/>
      <c r="M32" s="25"/>
      <c r="N32" s="25"/>
      <c r="O32" s="25"/>
      <c r="P32" s="25" t="str">
        <f t="shared" si="0"/>
        <v/>
      </c>
    </row>
    <row r="33" spans="1:16" x14ac:dyDescent="0.35">
      <c r="A33" s="28"/>
      <c r="B33" s="28"/>
      <c r="D33" s="27"/>
      <c r="E33" s="27"/>
      <c r="G33" s="27"/>
      <c r="H33" s="29"/>
      <c r="J33" s="27"/>
      <c r="K33" s="29"/>
      <c r="M33" s="25"/>
      <c r="N33" s="25"/>
      <c r="O33" s="25"/>
      <c r="P33" s="25" t="str">
        <f t="shared" si="0"/>
        <v/>
      </c>
    </row>
    <row r="34" spans="1:16" x14ac:dyDescent="0.35">
      <c r="A34" s="28"/>
      <c r="B34" s="28"/>
      <c r="D34" s="27"/>
      <c r="E34" s="27"/>
      <c r="G34" s="27"/>
      <c r="H34" s="29"/>
      <c r="J34" s="27"/>
      <c r="K34" s="29"/>
      <c r="M34" s="25"/>
      <c r="N34" s="25"/>
      <c r="O34" s="25"/>
      <c r="P34" s="25" t="str">
        <f t="shared" si="0"/>
        <v/>
      </c>
    </row>
    <row r="35" spans="1:16" x14ac:dyDescent="0.35">
      <c r="A35" s="28"/>
      <c r="B35" s="28"/>
      <c r="D35" s="27"/>
      <c r="E35" s="27"/>
      <c r="G35" s="27"/>
      <c r="H35" s="29"/>
      <c r="J35" s="27"/>
      <c r="K35" s="29"/>
      <c r="M35" s="25"/>
      <c r="N35" s="25"/>
      <c r="O35" s="25"/>
      <c r="P35" s="25" t="str">
        <f t="shared" si="0"/>
        <v/>
      </c>
    </row>
    <row r="36" spans="1:16" x14ac:dyDescent="0.35">
      <c r="A36" s="28"/>
      <c r="B36" s="28"/>
      <c r="D36" s="27"/>
      <c r="E36" s="27"/>
      <c r="G36" s="27"/>
      <c r="H36" s="29"/>
      <c r="J36" s="27"/>
      <c r="K36" s="29"/>
      <c r="M36" s="25"/>
      <c r="N36" s="25"/>
      <c r="O36" s="25"/>
      <c r="P36" s="25" t="str">
        <f t="shared" si="0"/>
        <v/>
      </c>
    </row>
    <row r="37" spans="1:16" x14ac:dyDescent="0.35">
      <c r="A37" s="28"/>
      <c r="B37" s="28"/>
      <c r="D37" s="27"/>
      <c r="E37" s="27"/>
      <c r="G37" s="27"/>
      <c r="H37" s="29"/>
      <c r="J37" s="27"/>
      <c r="K37" s="29"/>
      <c r="M37" s="25"/>
      <c r="N37" s="25"/>
      <c r="O37" s="25"/>
      <c r="P37" s="25" t="str">
        <f t="shared" si="0"/>
        <v/>
      </c>
    </row>
    <row r="38" spans="1:16" x14ac:dyDescent="0.35">
      <c r="A38" s="28"/>
      <c r="B38" s="28"/>
      <c r="D38" s="27"/>
      <c r="E38" s="27"/>
      <c r="G38" s="27"/>
      <c r="H38" s="29"/>
      <c r="J38" s="27"/>
      <c r="K38" s="29"/>
      <c r="M38" s="25"/>
      <c r="N38" s="25"/>
      <c r="O38" s="25"/>
      <c r="P38" s="25" t="str">
        <f t="shared" si="0"/>
        <v/>
      </c>
    </row>
    <row r="39" spans="1:16" x14ac:dyDescent="0.35">
      <c r="A39" s="28"/>
      <c r="B39" s="28"/>
      <c r="D39" s="27"/>
      <c r="E39" s="27"/>
      <c r="G39" s="27"/>
      <c r="H39" s="29"/>
      <c r="J39" s="27"/>
      <c r="K39" s="29"/>
      <c r="M39" s="25"/>
      <c r="N39" s="25"/>
      <c r="O39" s="25"/>
      <c r="P39" s="25" t="str">
        <f t="shared" si="0"/>
        <v/>
      </c>
    </row>
    <row r="40" spans="1:16" x14ac:dyDescent="0.35">
      <c r="A40" s="28"/>
      <c r="B40" s="28"/>
      <c r="D40" s="27"/>
      <c r="E40" s="27"/>
      <c r="G40" s="27"/>
      <c r="H40" s="29"/>
      <c r="J40" s="27"/>
      <c r="K40" s="29"/>
      <c r="M40" s="25"/>
      <c r="N40" s="25"/>
      <c r="O40" s="25"/>
      <c r="P40" s="25" t="str">
        <f t="shared" si="0"/>
        <v/>
      </c>
    </row>
    <row r="41" spans="1:16" x14ac:dyDescent="0.35">
      <c r="A41" s="28"/>
      <c r="B41" s="28"/>
      <c r="D41" s="27"/>
      <c r="E41" s="27"/>
      <c r="G41" s="27"/>
      <c r="H41" s="29"/>
      <c r="J41" s="27"/>
      <c r="K41" s="29"/>
      <c r="M41" s="25"/>
      <c r="N41" s="25"/>
      <c r="O41" s="25"/>
      <c r="P41" s="25" t="str">
        <f t="shared" si="0"/>
        <v/>
      </c>
    </row>
    <row r="42" spans="1:16" x14ac:dyDescent="0.35">
      <c r="A42" s="28"/>
      <c r="B42" s="28"/>
      <c r="D42" s="27"/>
      <c r="E42" s="27"/>
      <c r="G42" s="27"/>
      <c r="H42" s="29"/>
      <c r="J42" s="27"/>
      <c r="K42" s="29"/>
      <c r="M42" s="25"/>
      <c r="N42" s="25"/>
      <c r="O42" s="25"/>
      <c r="P42" s="25" t="str">
        <f t="shared" si="0"/>
        <v/>
      </c>
    </row>
    <row r="43" spans="1:16" x14ac:dyDescent="0.35">
      <c r="A43" s="28"/>
      <c r="B43" s="28"/>
      <c r="D43" s="27"/>
      <c r="E43" s="27"/>
      <c r="G43" s="27"/>
      <c r="H43" s="29"/>
      <c r="J43" s="27"/>
      <c r="K43" s="29"/>
      <c r="M43" s="25"/>
      <c r="N43" s="25"/>
      <c r="O43" s="25"/>
      <c r="P43" s="25" t="str">
        <f t="shared" si="0"/>
        <v/>
      </c>
    </row>
    <row r="44" spans="1:16" x14ac:dyDescent="0.35">
      <c r="A44" s="28"/>
      <c r="B44" s="28"/>
      <c r="D44" s="27"/>
      <c r="E44" s="27"/>
      <c r="G44" s="27"/>
      <c r="H44" s="29"/>
      <c r="J44" s="27"/>
      <c r="K44" s="29"/>
      <c r="M44" s="25"/>
      <c r="N44" s="25"/>
      <c r="O44" s="25"/>
      <c r="P44" s="25" t="str">
        <f t="shared" si="0"/>
        <v/>
      </c>
    </row>
    <row r="45" spans="1:16" x14ac:dyDescent="0.35">
      <c r="A45" s="28"/>
      <c r="B45" s="28"/>
      <c r="D45" s="27"/>
      <c r="E45" s="27"/>
      <c r="G45" s="27"/>
      <c r="H45" s="29"/>
      <c r="J45" s="27"/>
      <c r="K45" s="29"/>
      <c r="M45" s="25"/>
      <c r="N45" s="25"/>
      <c r="O45" s="25"/>
      <c r="P45" s="25" t="str">
        <f t="shared" si="0"/>
        <v/>
      </c>
    </row>
    <row r="46" spans="1:16" x14ac:dyDescent="0.35">
      <c r="A46" s="28"/>
      <c r="B46" s="28"/>
      <c r="D46" s="27"/>
      <c r="E46" s="27"/>
      <c r="G46" s="27"/>
      <c r="H46" s="29"/>
      <c r="J46" s="27"/>
      <c r="K46" s="29"/>
      <c r="M46" s="25"/>
      <c r="N46" s="25"/>
      <c r="O46" s="25"/>
      <c r="P46" s="25" t="str">
        <f t="shared" si="0"/>
        <v/>
      </c>
    </row>
    <row r="47" spans="1:16" x14ac:dyDescent="0.35">
      <c r="A47" s="28"/>
      <c r="B47" s="28"/>
      <c r="D47" s="27"/>
      <c r="E47" s="27"/>
      <c r="G47" s="27"/>
      <c r="H47" s="29"/>
      <c r="J47" s="27"/>
      <c r="K47" s="29"/>
      <c r="M47" s="25"/>
      <c r="N47" s="25"/>
      <c r="O47" s="25"/>
      <c r="P47" s="25" t="str">
        <f t="shared" si="0"/>
        <v/>
      </c>
    </row>
    <row r="48" spans="1:16" x14ac:dyDescent="0.35">
      <c r="A48" s="28"/>
      <c r="B48" s="28"/>
      <c r="D48" s="27"/>
      <c r="E48" s="27"/>
      <c r="G48" s="27"/>
      <c r="H48" s="29"/>
      <c r="J48" s="27"/>
      <c r="K48" s="29"/>
      <c r="M48" s="25"/>
      <c r="N48" s="25"/>
      <c r="O48" s="25"/>
      <c r="P48" s="25" t="str">
        <f t="shared" ref="P48:P79" si="1">IF(A48="","",IF(D48="x","&lt;VariableColumn&gt;&lt;Name&gt;"&amp;A48&amp;"&lt;/Name&gt;&lt;Description&gt;"&amp;B48&amp;"&lt;/Description&gt;&lt;Numeric&gt;&lt;Accuracy&gt;"&amp;E48&amp;"&lt;/Accuracy&gt;&lt;/Numeric&gt;&lt;/VariableColumn&gt;",IF(G48="x","&lt;VariableColumn&gt;&lt;Name&gt;"&amp;A48&amp;"&lt;/Name&gt;&lt;Description&gt;"&amp;B48&amp;"&lt;/Description&gt;&lt;AlphaNumeric/&gt;"&amp;IF(H48&gt;0,"&lt;MaxLength&gt;"&amp;H48&amp;"&lt;/MaxLength&gt;","")&amp;"&lt;/VariableColumn&gt;",IF(J48="x","&lt;VariableColumn&gt;&lt;Name&gt;"&amp;A48&amp;"&lt;/Name&gt;&lt;Description&gt;"&amp;B48&amp;"&lt;/Description&gt;&lt;Date&gt;&lt;Format&gt;"&amp;K48&amp;"&lt;/Format&gt;&lt;/Date&gt;&lt;/VariableColumn&gt;",""))))</f>
        <v/>
      </c>
    </row>
    <row r="49" spans="1:16" x14ac:dyDescent="0.35">
      <c r="A49" s="28"/>
      <c r="B49" s="28"/>
      <c r="D49" s="27"/>
      <c r="E49" s="27"/>
      <c r="G49" s="27"/>
      <c r="H49" s="29"/>
      <c r="J49" s="27"/>
      <c r="K49" s="29"/>
      <c r="M49" s="25"/>
      <c r="N49" s="25"/>
      <c r="O49" s="25"/>
      <c r="P49" s="25" t="str">
        <f t="shared" si="1"/>
        <v/>
      </c>
    </row>
    <row r="50" spans="1:16" x14ac:dyDescent="0.35">
      <c r="A50" s="28"/>
      <c r="B50" s="28"/>
      <c r="D50" s="27"/>
      <c r="E50" s="27"/>
      <c r="G50" s="27"/>
      <c r="H50" s="29"/>
      <c r="J50" s="27"/>
      <c r="K50" s="29"/>
      <c r="M50" s="25"/>
      <c r="N50" s="25"/>
      <c r="O50" s="25"/>
      <c r="P50" s="25" t="str">
        <f t="shared" si="1"/>
        <v/>
      </c>
    </row>
    <row r="51" spans="1:16" x14ac:dyDescent="0.35">
      <c r="A51" s="28"/>
      <c r="B51" s="28"/>
      <c r="D51" s="27"/>
      <c r="E51" s="27"/>
      <c r="G51" s="27"/>
      <c r="H51" s="29"/>
      <c r="J51" s="27"/>
      <c r="K51" s="29"/>
      <c r="M51" s="25"/>
      <c r="N51" s="25"/>
      <c r="O51" s="25"/>
      <c r="P51" s="25" t="str">
        <f t="shared" si="1"/>
        <v/>
      </c>
    </row>
    <row r="52" spans="1:16" x14ac:dyDescent="0.35">
      <c r="A52" s="28"/>
      <c r="B52" s="28"/>
      <c r="D52" s="27"/>
      <c r="E52" s="27"/>
      <c r="G52" s="27"/>
      <c r="H52" s="29"/>
      <c r="J52" s="27"/>
      <c r="K52" s="29"/>
      <c r="M52" s="25"/>
      <c r="N52" s="25"/>
      <c r="O52" s="25"/>
      <c r="P52" s="25" t="str">
        <f t="shared" si="1"/>
        <v/>
      </c>
    </row>
    <row r="53" spans="1:16" x14ac:dyDescent="0.35">
      <c r="A53" s="28"/>
      <c r="B53" s="28"/>
      <c r="D53" s="27"/>
      <c r="E53" s="27"/>
      <c r="G53" s="27"/>
      <c r="H53" s="29"/>
      <c r="J53" s="27"/>
      <c r="K53" s="29"/>
      <c r="M53" s="25"/>
      <c r="N53" s="25"/>
      <c r="O53" s="25"/>
      <c r="P53" s="25" t="str">
        <f t="shared" si="1"/>
        <v/>
      </c>
    </row>
    <row r="54" spans="1:16" x14ac:dyDescent="0.35">
      <c r="A54" s="28"/>
      <c r="B54" s="28"/>
      <c r="D54" s="27"/>
      <c r="E54" s="27"/>
      <c r="G54" s="27"/>
      <c r="H54" s="29"/>
      <c r="J54" s="27"/>
      <c r="K54" s="29"/>
      <c r="M54" s="25"/>
      <c r="N54" s="25"/>
      <c r="O54" s="25"/>
      <c r="P54" s="25" t="str">
        <f t="shared" si="1"/>
        <v/>
      </c>
    </row>
    <row r="55" spans="1:16" x14ac:dyDescent="0.35">
      <c r="A55" s="28"/>
      <c r="B55" s="28"/>
      <c r="D55" s="27"/>
      <c r="E55" s="27"/>
      <c r="G55" s="27"/>
      <c r="H55" s="29"/>
      <c r="J55" s="27"/>
      <c r="K55" s="29"/>
      <c r="M55" s="25"/>
      <c r="N55" s="25"/>
      <c r="O55" s="25"/>
      <c r="P55" s="25" t="str">
        <f t="shared" si="1"/>
        <v/>
      </c>
    </row>
    <row r="56" spans="1:16" x14ac:dyDescent="0.35">
      <c r="A56" s="28"/>
      <c r="B56" s="28"/>
      <c r="D56" s="27"/>
      <c r="E56" s="27"/>
      <c r="G56" s="27"/>
      <c r="H56" s="29"/>
      <c r="J56" s="27"/>
      <c r="K56" s="29"/>
      <c r="M56" s="25"/>
      <c r="N56" s="25"/>
      <c r="O56" s="25"/>
      <c r="P56" s="25" t="str">
        <f t="shared" si="1"/>
        <v/>
      </c>
    </row>
    <row r="57" spans="1:16" x14ac:dyDescent="0.35">
      <c r="A57" s="28"/>
      <c r="B57" s="28"/>
      <c r="D57" s="27"/>
      <c r="E57" s="27"/>
      <c r="G57" s="27"/>
      <c r="H57" s="29"/>
      <c r="J57" s="27"/>
      <c r="K57" s="29"/>
      <c r="M57" s="25"/>
      <c r="N57" s="25"/>
      <c r="O57" s="25"/>
      <c r="P57" s="25" t="str">
        <f t="shared" si="1"/>
        <v/>
      </c>
    </row>
    <row r="58" spans="1:16" x14ac:dyDescent="0.35">
      <c r="A58" s="28"/>
      <c r="B58" s="28"/>
      <c r="D58" s="27"/>
      <c r="E58" s="27"/>
      <c r="G58" s="27"/>
      <c r="H58" s="29"/>
      <c r="J58" s="27"/>
      <c r="K58" s="29"/>
      <c r="M58" s="25"/>
      <c r="N58" s="25"/>
      <c r="O58" s="25"/>
      <c r="P58" s="25" t="str">
        <f t="shared" si="1"/>
        <v/>
      </c>
    </row>
    <row r="59" spans="1:16" x14ac:dyDescent="0.35">
      <c r="A59" s="28"/>
      <c r="B59" s="28"/>
      <c r="D59" s="27"/>
      <c r="E59" s="27"/>
      <c r="G59" s="27"/>
      <c r="H59" s="29"/>
      <c r="J59" s="27"/>
      <c r="K59" s="29"/>
      <c r="M59" s="25"/>
      <c r="N59" s="25"/>
      <c r="O59" s="25"/>
      <c r="P59" s="25" t="str">
        <f t="shared" si="1"/>
        <v/>
      </c>
    </row>
    <row r="60" spans="1:16" x14ac:dyDescent="0.35">
      <c r="A60" s="28"/>
      <c r="B60" s="28"/>
      <c r="D60" s="27"/>
      <c r="E60" s="27"/>
      <c r="G60" s="27"/>
      <c r="H60" s="29"/>
      <c r="J60" s="27"/>
      <c r="K60" s="29"/>
      <c r="M60" s="25"/>
      <c r="N60" s="25"/>
      <c r="O60" s="25"/>
      <c r="P60" s="25" t="str">
        <f t="shared" si="1"/>
        <v/>
      </c>
    </row>
    <row r="61" spans="1:16" x14ac:dyDescent="0.35">
      <c r="A61" s="28"/>
      <c r="B61" s="28"/>
      <c r="D61" s="27"/>
      <c r="E61" s="27"/>
      <c r="G61" s="27"/>
      <c r="H61" s="29"/>
      <c r="J61" s="27"/>
      <c r="K61" s="29"/>
      <c r="M61" s="25"/>
      <c r="N61" s="25"/>
      <c r="O61" s="25"/>
      <c r="P61" s="25" t="str">
        <f t="shared" si="1"/>
        <v/>
      </c>
    </row>
    <row r="62" spans="1:16" x14ac:dyDescent="0.35">
      <c r="A62" s="28"/>
      <c r="B62" s="28"/>
      <c r="D62" s="27"/>
      <c r="E62" s="27"/>
      <c r="G62" s="27"/>
      <c r="H62" s="29"/>
      <c r="J62" s="27"/>
      <c r="K62" s="29"/>
      <c r="M62" s="25"/>
      <c r="N62" s="25"/>
      <c r="O62" s="25"/>
      <c r="P62" s="25" t="str">
        <f t="shared" si="1"/>
        <v/>
      </c>
    </row>
    <row r="63" spans="1:16" x14ac:dyDescent="0.35">
      <c r="A63" s="28"/>
      <c r="B63" s="28"/>
      <c r="D63" s="27"/>
      <c r="E63" s="27"/>
      <c r="G63" s="27"/>
      <c r="H63" s="29"/>
      <c r="J63" s="27"/>
      <c r="K63" s="29"/>
      <c r="M63" s="25"/>
      <c r="N63" s="25"/>
      <c r="O63" s="25"/>
      <c r="P63" s="25" t="str">
        <f t="shared" si="1"/>
        <v/>
      </c>
    </row>
    <row r="64" spans="1:16" x14ac:dyDescent="0.35">
      <c r="A64" s="28"/>
      <c r="B64" s="28"/>
      <c r="D64" s="27"/>
      <c r="E64" s="27"/>
      <c r="G64" s="27"/>
      <c r="H64" s="29"/>
      <c r="J64" s="27"/>
      <c r="K64" s="29"/>
      <c r="M64" s="25"/>
      <c r="N64" s="25"/>
      <c r="O64" s="25"/>
      <c r="P64" s="25" t="str">
        <f t="shared" si="1"/>
        <v/>
      </c>
    </row>
    <row r="65" spans="1:16" x14ac:dyDescent="0.35">
      <c r="A65" s="28"/>
      <c r="B65" s="28"/>
      <c r="D65" s="27"/>
      <c r="E65" s="27"/>
      <c r="G65" s="27"/>
      <c r="H65" s="29"/>
      <c r="J65" s="27"/>
      <c r="K65" s="29"/>
      <c r="M65" s="25"/>
      <c r="N65" s="25"/>
      <c r="O65" s="25"/>
      <c r="P65" s="25" t="str">
        <f t="shared" si="1"/>
        <v/>
      </c>
    </row>
    <row r="66" spans="1:16" x14ac:dyDescent="0.35">
      <c r="A66" s="28"/>
      <c r="B66" s="28"/>
      <c r="D66" s="27"/>
      <c r="E66" s="27"/>
      <c r="G66" s="27"/>
      <c r="H66" s="29"/>
      <c r="J66" s="27"/>
      <c r="K66" s="29"/>
      <c r="M66" s="25"/>
      <c r="N66" s="25"/>
      <c r="O66" s="25"/>
      <c r="P66" s="25" t="str">
        <f t="shared" si="1"/>
        <v/>
      </c>
    </row>
    <row r="67" spans="1:16" x14ac:dyDescent="0.35">
      <c r="A67" s="28"/>
      <c r="B67" s="28"/>
      <c r="D67" s="27"/>
      <c r="E67" s="27"/>
      <c r="G67" s="27"/>
      <c r="H67" s="29"/>
      <c r="J67" s="27"/>
      <c r="K67" s="29"/>
      <c r="M67" s="25"/>
      <c r="N67" s="25"/>
      <c r="O67" s="25"/>
      <c r="P67" s="25" t="str">
        <f t="shared" si="1"/>
        <v/>
      </c>
    </row>
    <row r="68" spans="1:16" x14ac:dyDescent="0.35">
      <c r="A68" s="28"/>
      <c r="B68" s="28"/>
      <c r="D68" s="27"/>
      <c r="E68" s="27"/>
      <c r="G68" s="27"/>
      <c r="H68" s="29"/>
      <c r="J68" s="27"/>
      <c r="K68" s="29"/>
      <c r="M68" s="25"/>
      <c r="N68" s="25"/>
      <c r="O68" s="25"/>
      <c r="P68" s="25" t="str">
        <f t="shared" si="1"/>
        <v/>
      </c>
    </row>
    <row r="69" spans="1:16" x14ac:dyDescent="0.35">
      <c r="A69" s="28"/>
      <c r="B69" s="28"/>
      <c r="D69" s="27"/>
      <c r="E69" s="27"/>
      <c r="G69" s="27"/>
      <c r="H69" s="29"/>
      <c r="J69" s="27"/>
      <c r="K69" s="29"/>
      <c r="M69" s="25"/>
      <c r="N69" s="25"/>
      <c r="O69" s="25"/>
      <c r="P69" s="25" t="str">
        <f t="shared" si="1"/>
        <v/>
      </c>
    </row>
    <row r="70" spans="1:16" x14ac:dyDescent="0.35">
      <c r="A70" s="28"/>
      <c r="B70" s="28"/>
      <c r="D70" s="27"/>
      <c r="E70" s="27"/>
      <c r="G70" s="27"/>
      <c r="H70" s="29"/>
      <c r="J70" s="27"/>
      <c r="K70" s="29"/>
      <c r="M70" s="25"/>
      <c r="N70" s="25"/>
      <c r="O70" s="25"/>
      <c r="P70" s="25" t="str">
        <f t="shared" si="1"/>
        <v/>
      </c>
    </row>
    <row r="71" spans="1:16" x14ac:dyDescent="0.35">
      <c r="A71" s="28"/>
      <c r="B71" s="28"/>
      <c r="D71" s="27"/>
      <c r="E71" s="27"/>
      <c r="G71" s="27"/>
      <c r="H71" s="29"/>
      <c r="J71" s="27"/>
      <c r="K71" s="29"/>
      <c r="M71" s="25"/>
      <c r="N71" s="25"/>
      <c r="O71" s="25"/>
      <c r="P71" s="25" t="str">
        <f t="shared" si="1"/>
        <v/>
      </c>
    </row>
    <row r="72" spans="1:16" x14ac:dyDescent="0.35">
      <c r="A72" s="28"/>
      <c r="B72" s="28"/>
      <c r="D72" s="27"/>
      <c r="E72" s="27"/>
      <c r="G72" s="27"/>
      <c r="H72" s="29"/>
      <c r="J72" s="27"/>
      <c r="K72" s="29"/>
      <c r="M72" s="25"/>
      <c r="N72" s="25"/>
      <c r="O72" s="25"/>
      <c r="P72" s="25" t="str">
        <f t="shared" si="1"/>
        <v/>
      </c>
    </row>
    <row r="73" spans="1:16" x14ac:dyDescent="0.35">
      <c r="A73" s="28"/>
      <c r="B73" s="28"/>
      <c r="D73" s="27"/>
      <c r="E73" s="27"/>
      <c r="G73" s="27"/>
      <c r="H73" s="29"/>
      <c r="J73" s="27"/>
      <c r="K73" s="29"/>
      <c r="M73" s="25"/>
      <c r="N73" s="25"/>
      <c r="O73" s="25"/>
      <c r="P73" s="25" t="str">
        <f t="shared" si="1"/>
        <v/>
      </c>
    </row>
    <row r="74" spans="1:16" x14ac:dyDescent="0.35">
      <c r="A74" s="28"/>
      <c r="B74" s="28"/>
      <c r="D74" s="27"/>
      <c r="E74" s="27"/>
      <c r="G74" s="27"/>
      <c r="H74" s="29"/>
      <c r="J74" s="27"/>
      <c r="K74" s="29"/>
      <c r="M74" s="25"/>
      <c r="N74" s="25"/>
      <c r="O74" s="25"/>
      <c r="P74" s="25" t="str">
        <f t="shared" si="1"/>
        <v/>
      </c>
    </row>
    <row r="75" spans="1:16" x14ac:dyDescent="0.35">
      <c r="A75" s="28"/>
      <c r="B75" s="28"/>
      <c r="D75" s="27"/>
      <c r="E75" s="27"/>
      <c r="G75" s="27"/>
      <c r="H75" s="29"/>
      <c r="J75" s="27"/>
      <c r="K75" s="29"/>
      <c r="M75" s="25"/>
      <c r="N75" s="25"/>
      <c r="O75" s="25"/>
      <c r="P75" s="25" t="str">
        <f t="shared" si="1"/>
        <v/>
      </c>
    </row>
    <row r="76" spans="1:16" x14ac:dyDescent="0.35">
      <c r="A76" s="28"/>
      <c r="B76" s="28"/>
      <c r="D76" s="27"/>
      <c r="E76" s="27"/>
      <c r="G76" s="27"/>
      <c r="H76" s="29"/>
      <c r="J76" s="27"/>
      <c r="K76" s="29"/>
      <c r="M76" s="25"/>
      <c r="N76" s="25"/>
      <c r="O76" s="25"/>
      <c r="P76" s="25" t="str">
        <f t="shared" si="1"/>
        <v/>
      </c>
    </row>
    <row r="77" spans="1:16" x14ac:dyDescent="0.35">
      <c r="A77" s="28"/>
      <c r="B77" s="28"/>
      <c r="D77" s="27"/>
      <c r="E77" s="27"/>
      <c r="G77" s="27"/>
      <c r="H77" s="29"/>
      <c r="J77" s="27"/>
      <c r="K77" s="29"/>
      <c r="M77" s="25"/>
      <c r="N77" s="25"/>
      <c r="O77" s="25"/>
      <c r="P77" s="25" t="str">
        <f t="shared" si="1"/>
        <v/>
      </c>
    </row>
    <row r="78" spans="1:16" x14ac:dyDescent="0.35">
      <c r="A78" s="28"/>
      <c r="B78" s="28"/>
      <c r="D78" s="27"/>
      <c r="E78" s="27"/>
      <c r="G78" s="27"/>
      <c r="H78" s="29"/>
      <c r="J78" s="27"/>
      <c r="K78" s="29"/>
      <c r="M78" s="25"/>
      <c r="N78" s="25"/>
      <c r="O78" s="25"/>
      <c r="P78" s="25" t="str">
        <f t="shared" si="1"/>
        <v/>
      </c>
    </row>
    <row r="79" spans="1:16" x14ac:dyDescent="0.35">
      <c r="A79" s="28"/>
      <c r="B79" s="28"/>
      <c r="D79" s="27"/>
      <c r="E79" s="27"/>
      <c r="G79" s="27"/>
      <c r="H79" s="29"/>
      <c r="J79" s="27"/>
      <c r="K79" s="29"/>
      <c r="M79" s="25"/>
      <c r="N79" s="25"/>
      <c r="O79" s="25"/>
      <c r="P79" s="25" t="str">
        <f t="shared" si="1"/>
        <v/>
      </c>
    </row>
    <row r="80" spans="1:16" x14ac:dyDescent="0.35">
      <c r="A80" s="28"/>
      <c r="B80" s="28"/>
      <c r="D80" s="27"/>
      <c r="E80" s="27"/>
      <c r="G80" s="27"/>
      <c r="H80" s="29"/>
      <c r="J80" s="27"/>
      <c r="K80" s="29"/>
      <c r="M80" s="25"/>
      <c r="N80" s="25"/>
      <c r="O80" s="25"/>
      <c r="P80" s="25" t="str">
        <f t="shared" ref="P80:P111" si="2">IF(A80="","",IF(D80="x","&lt;VariableColumn&gt;&lt;Name&gt;"&amp;A80&amp;"&lt;/Name&gt;&lt;Description&gt;"&amp;B80&amp;"&lt;/Description&gt;&lt;Numeric&gt;&lt;Accuracy&gt;"&amp;E80&amp;"&lt;/Accuracy&gt;&lt;/Numeric&gt;&lt;/VariableColumn&gt;",IF(G80="x","&lt;VariableColumn&gt;&lt;Name&gt;"&amp;A80&amp;"&lt;/Name&gt;&lt;Description&gt;"&amp;B80&amp;"&lt;/Description&gt;&lt;AlphaNumeric/&gt;"&amp;IF(H80&gt;0,"&lt;MaxLength&gt;"&amp;H80&amp;"&lt;/MaxLength&gt;","")&amp;"&lt;/VariableColumn&gt;",IF(J80="x","&lt;VariableColumn&gt;&lt;Name&gt;"&amp;A80&amp;"&lt;/Name&gt;&lt;Description&gt;"&amp;B80&amp;"&lt;/Description&gt;&lt;Date&gt;&lt;Format&gt;"&amp;K80&amp;"&lt;/Format&gt;&lt;/Date&gt;&lt;/VariableColumn&gt;",""))))</f>
        <v/>
      </c>
    </row>
    <row r="81" spans="1:16" x14ac:dyDescent="0.35">
      <c r="A81" s="28"/>
      <c r="B81" s="28"/>
      <c r="D81" s="27"/>
      <c r="E81" s="27"/>
      <c r="G81" s="27"/>
      <c r="H81" s="29"/>
      <c r="J81" s="27"/>
      <c r="K81" s="29"/>
      <c r="M81" s="25"/>
      <c r="N81" s="25"/>
      <c r="O81" s="25"/>
      <c r="P81" s="25" t="str">
        <f t="shared" si="2"/>
        <v/>
      </c>
    </row>
    <row r="82" spans="1:16" x14ac:dyDescent="0.35">
      <c r="A82" s="28"/>
      <c r="B82" s="28"/>
      <c r="D82" s="27"/>
      <c r="E82" s="27"/>
      <c r="G82" s="27"/>
      <c r="H82" s="29"/>
      <c r="J82" s="27"/>
      <c r="K82" s="29"/>
      <c r="M82" s="25"/>
      <c r="N82" s="25"/>
      <c r="O82" s="25"/>
      <c r="P82" s="25" t="str">
        <f t="shared" si="2"/>
        <v/>
      </c>
    </row>
    <row r="83" spans="1:16" x14ac:dyDescent="0.35">
      <c r="A83" s="28"/>
      <c r="B83" s="28"/>
      <c r="D83" s="27"/>
      <c r="E83" s="27"/>
      <c r="G83" s="27"/>
      <c r="H83" s="29"/>
      <c r="J83" s="27"/>
      <c r="K83" s="29"/>
      <c r="M83" s="25"/>
      <c r="N83" s="25"/>
      <c r="O83" s="25"/>
      <c r="P83" s="25" t="str">
        <f t="shared" si="2"/>
        <v/>
      </c>
    </row>
    <row r="84" spans="1:16" x14ac:dyDescent="0.35">
      <c r="A84" s="28"/>
      <c r="B84" s="28"/>
      <c r="D84" s="27"/>
      <c r="E84" s="27"/>
      <c r="G84" s="27"/>
      <c r="H84" s="29"/>
      <c r="J84" s="27"/>
      <c r="K84" s="29"/>
      <c r="M84" s="25"/>
      <c r="N84" s="25"/>
      <c r="O84" s="25"/>
      <c r="P84" s="25" t="str">
        <f t="shared" si="2"/>
        <v/>
      </c>
    </row>
    <row r="85" spans="1:16" x14ac:dyDescent="0.35">
      <c r="A85" s="28"/>
      <c r="B85" s="28"/>
      <c r="D85" s="27"/>
      <c r="E85" s="27"/>
      <c r="G85" s="27"/>
      <c r="H85" s="29"/>
      <c r="J85" s="27"/>
      <c r="K85" s="29"/>
      <c r="M85" s="25"/>
      <c r="N85" s="25"/>
      <c r="O85" s="25"/>
      <c r="P85" s="25" t="str">
        <f t="shared" si="2"/>
        <v/>
      </c>
    </row>
    <row r="86" spans="1:16" x14ac:dyDescent="0.35">
      <c r="A86" s="28"/>
      <c r="B86" s="28"/>
      <c r="D86" s="27"/>
      <c r="E86" s="27"/>
      <c r="G86" s="27"/>
      <c r="H86" s="29"/>
      <c r="J86" s="27"/>
      <c r="K86" s="29"/>
      <c r="M86" s="25"/>
      <c r="N86" s="25"/>
      <c r="O86" s="25"/>
      <c r="P86" s="25" t="str">
        <f t="shared" si="2"/>
        <v/>
      </c>
    </row>
    <row r="87" spans="1:16" x14ac:dyDescent="0.35">
      <c r="A87" s="28"/>
      <c r="B87" s="28"/>
      <c r="D87" s="27"/>
      <c r="E87" s="27"/>
      <c r="G87" s="27"/>
      <c r="H87" s="29"/>
      <c r="J87" s="27"/>
      <c r="K87" s="29"/>
      <c r="M87" s="25"/>
      <c r="N87" s="25"/>
      <c r="O87" s="25"/>
      <c r="P87" s="25" t="str">
        <f t="shared" si="2"/>
        <v/>
      </c>
    </row>
    <row r="88" spans="1:16" x14ac:dyDescent="0.35">
      <c r="A88" s="28"/>
      <c r="B88" s="28"/>
      <c r="D88" s="27"/>
      <c r="E88" s="27"/>
      <c r="G88" s="27"/>
      <c r="H88" s="29"/>
      <c r="J88" s="27"/>
      <c r="K88" s="29"/>
      <c r="M88" s="25"/>
      <c r="N88" s="25"/>
      <c r="O88" s="25"/>
      <c r="P88" s="25" t="str">
        <f t="shared" si="2"/>
        <v/>
      </c>
    </row>
    <row r="89" spans="1:16" x14ac:dyDescent="0.35">
      <c r="A89" s="28"/>
      <c r="B89" s="28"/>
      <c r="D89" s="27"/>
      <c r="E89" s="27"/>
      <c r="G89" s="27"/>
      <c r="H89" s="29"/>
      <c r="J89" s="27"/>
      <c r="K89" s="29"/>
      <c r="M89" s="25"/>
      <c r="N89" s="25"/>
      <c r="O89" s="25"/>
      <c r="P89" s="25" t="str">
        <f t="shared" si="2"/>
        <v/>
      </c>
    </row>
    <row r="90" spans="1:16" x14ac:dyDescent="0.35">
      <c r="A90" s="28"/>
      <c r="B90" s="28"/>
      <c r="D90" s="27"/>
      <c r="E90" s="27"/>
      <c r="G90" s="27"/>
      <c r="H90" s="29"/>
      <c r="J90" s="27"/>
      <c r="K90" s="29"/>
      <c r="M90" s="25"/>
      <c r="N90" s="25"/>
      <c r="O90" s="25"/>
      <c r="P90" s="25" t="str">
        <f t="shared" si="2"/>
        <v/>
      </c>
    </row>
    <row r="91" spans="1:16" x14ac:dyDescent="0.35">
      <c r="A91" s="28"/>
      <c r="B91" s="28"/>
      <c r="D91" s="27"/>
      <c r="E91" s="27"/>
      <c r="G91" s="27"/>
      <c r="H91" s="29"/>
      <c r="J91" s="27"/>
      <c r="K91" s="29"/>
      <c r="M91" s="25"/>
      <c r="N91" s="25"/>
      <c r="O91" s="25"/>
      <c r="P91" s="25" t="str">
        <f t="shared" si="2"/>
        <v/>
      </c>
    </row>
    <row r="92" spans="1:16" x14ac:dyDescent="0.35">
      <c r="A92" s="28"/>
      <c r="B92" s="28"/>
      <c r="D92" s="27"/>
      <c r="E92" s="27"/>
      <c r="G92" s="27"/>
      <c r="H92" s="29"/>
      <c r="J92" s="27"/>
      <c r="K92" s="29"/>
      <c r="M92" s="25"/>
      <c r="N92" s="25"/>
      <c r="O92" s="25"/>
      <c r="P92" s="25" t="str">
        <f t="shared" si="2"/>
        <v/>
      </c>
    </row>
    <row r="93" spans="1:16" x14ac:dyDescent="0.35">
      <c r="A93" s="28"/>
      <c r="B93" s="28"/>
      <c r="D93" s="27"/>
      <c r="E93" s="27"/>
      <c r="G93" s="27"/>
      <c r="H93" s="29"/>
      <c r="J93" s="27"/>
      <c r="K93" s="29"/>
      <c r="M93" s="25"/>
      <c r="N93" s="25"/>
      <c r="O93" s="25"/>
      <c r="P93" s="25" t="str">
        <f t="shared" si="2"/>
        <v/>
      </c>
    </row>
    <row r="94" spans="1:16" x14ac:dyDescent="0.35">
      <c r="A94" s="28"/>
      <c r="B94" s="28"/>
      <c r="D94" s="27"/>
      <c r="E94" s="27"/>
      <c r="G94" s="27"/>
      <c r="H94" s="29"/>
      <c r="J94" s="27"/>
      <c r="K94" s="29"/>
      <c r="M94" s="25"/>
      <c r="N94" s="25"/>
      <c r="O94" s="25"/>
      <c r="P94" s="25" t="str">
        <f t="shared" si="2"/>
        <v/>
      </c>
    </row>
    <row r="95" spans="1:16" x14ac:dyDescent="0.35">
      <c r="A95" s="28"/>
      <c r="B95" s="28"/>
      <c r="D95" s="27"/>
      <c r="E95" s="27"/>
      <c r="G95" s="27"/>
      <c r="H95" s="29"/>
      <c r="J95" s="27"/>
      <c r="K95" s="29"/>
      <c r="M95" s="25"/>
      <c r="N95" s="25"/>
      <c r="O95" s="25"/>
      <c r="P95" s="25" t="str">
        <f t="shared" si="2"/>
        <v/>
      </c>
    </row>
    <row r="96" spans="1:16" x14ac:dyDescent="0.35">
      <c r="A96" s="28"/>
      <c r="B96" s="28"/>
      <c r="D96" s="27"/>
      <c r="E96" s="27"/>
      <c r="G96" s="27"/>
      <c r="H96" s="29"/>
      <c r="J96" s="27"/>
      <c r="K96" s="29"/>
      <c r="M96" s="25"/>
      <c r="N96" s="25"/>
      <c r="O96" s="25"/>
      <c r="P96" s="25" t="str">
        <f t="shared" si="2"/>
        <v/>
      </c>
    </row>
    <row r="97" spans="1:16" x14ac:dyDescent="0.35">
      <c r="A97" s="28"/>
      <c r="B97" s="28"/>
      <c r="D97" s="27"/>
      <c r="E97" s="27"/>
      <c r="G97" s="27"/>
      <c r="H97" s="29"/>
      <c r="J97" s="27"/>
      <c r="K97" s="29"/>
      <c r="M97" s="25"/>
      <c r="N97" s="25"/>
      <c r="O97" s="25"/>
      <c r="P97" s="25" t="str">
        <f t="shared" si="2"/>
        <v/>
      </c>
    </row>
    <row r="98" spans="1:16" x14ac:dyDescent="0.35">
      <c r="A98" s="28"/>
      <c r="B98" s="28"/>
      <c r="D98" s="27"/>
      <c r="E98" s="27"/>
      <c r="G98" s="27"/>
      <c r="H98" s="29"/>
      <c r="J98" s="27"/>
      <c r="K98" s="29"/>
      <c r="M98" s="25"/>
      <c r="N98" s="25"/>
      <c r="O98" s="25"/>
      <c r="P98" s="25" t="str">
        <f t="shared" si="2"/>
        <v/>
      </c>
    </row>
    <row r="99" spans="1:16" x14ac:dyDescent="0.35">
      <c r="A99" s="28"/>
      <c r="B99" s="28"/>
      <c r="D99" s="27"/>
      <c r="E99" s="27"/>
      <c r="G99" s="27"/>
      <c r="H99" s="29"/>
      <c r="J99" s="27"/>
      <c r="K99" s="29"/>
      <c r="M99" s="25"/>
      <c r="N99" s="25"/>
      <c r="O99" s="25"/>
      <c r="P99" s="25" t="str">
        <f t="shared" si="2"/>
        <v/>
      </c>
    </row>
    <row r="100" spans="1:16" x14ac:dyDescent="0.35">
      <c r="A100" s="28"/>
      <c r="B100" s="28"/>
      <c r="D100" s="27"/>
      <c r="E100" s="27"/>
      <c r="G100" s="27"/>
      <c r="H100" s="29"/>
      <c r="J100" s="27"/>
      <c r="K100" s="29"/>
      <c r="M100" s="25"/>
      <c r="N100" s="25"/>
      <c r="O100" s="25"/>
      <c r="P100" s="25" t="str">
        <f t="shared" si="2"/>
        <v/>
      </c>
    </row>
    <row r="101" spans="1:16" x14ac:dyDescent="0.35">
      <c r="A101" s="28"/>
      <c r="B101" s="28"/>
      <c r="D101" s="27"/>
      <c r="E101" s="27"/>
      <c r="G101" s="27"/>
      <c r="H101" s="29"/>
      <c r="J101" s="27"/>
      <c r="K101" s="29"/>
      <c r="M101" s="25"/>
      <c r="N101" s="25"/>
      <c r="O101" s="25"/>
      <c r="P101" s="25" t="str">
        <f t="shared" si="2"/>
        <v/>
      </c>
    </row>
    <row r="102" spans="1:16" x14ac:dyDescent="0.35">
      <c r="A102" s="28"/>
      <c r="B102" s="28"/>
      <c r="D102" s="27"/>
      <c r="E102" s="27"/>
      <c r="G102" s="27"/>
      <c r="H102" s="29"/>
      <c r="J102" s="27"/>
      <c r="K102" s="29"/>
      <c r="M102" s="25"/>
      <c r="N102" s="25"/>
      <c r="O102" s="25"/>
      <c r="P102" s="25" t="str">
        <f t="shared" si="2"/>
        <v/>
      </c>
    </row>
    <row r="103" spans="1:16" x14ac:dyDescent="0.35">
      <c r="A103" s="28"/>
      <c r="B103" s="28"/>
      <c r="D103" s="27"/>
      <c r="E103" s="27"/>
      <c r="G103" s="27"/>
      <c r="H103" s="29"/>
      <c r="J103" s="27"/>
      <c r="K103" s="29"/>
      <c r="M103" s="25"/>
      <c r="N103" s="25"/>
      <c r="O103" s="25"/>
      <c r="P103" s="25" t="str">
        <f t="shared" si="2"/>
        <v/>
      </c>
    </row>
    <row r="104" spans="1:16" x14ac:dyDescent="0.35">
      <c r="A104" s="28"/>
      <c r="B104" s="28"/>
      <c r="D104" s="27"/>
      <c r="E104" s="27"/>
      <c r="G104" s="27"/>
      <c r="H104" s="29"/>
      <c r="J104" s="27"/>
      <c r="K104" s="29"/>
      <c r="M104" s="25"/>
      <c r="N104" s="25"/>
      <c r="O104" s="25"/>
      <c r="P104" s="25" t="str">
        <f t="shared" si="2"/>
        <v/>
      </c>
    </row>
    <row r="105" spans="1:16" x14ac:dyDescent="0.35">
      <c r="A105" s="28"/>
      <c r="B105" s="28"/>
      <c r="D105" s="27"/>
      <c r="E105" s="27"/>
      <c r="G105" s="27"/>
      <c r="H105" s="29"/>
      <c r="J105" s="27"/>
      <c r="K105" s="29"/>
      <c r="M105" s="25"/>
      <c r="N105" s="25"/>
      <c r="O105" s="25"/>
      <c r="P105" s="25" t="str">
        <f t="shared" si="2"/>
        <v/>
      </c>
    </row>
    <row r="106" spans="1:16" x14ac:dyDescent="0.35">
      <c r="A106" s="28"/>
      <c r="B106" s="28"/>
      <c r="D106" s="27"/>
      <c r="E106" s="27"/>
      <c r="G106" s="27"/>
      <c r="H106" s="29"/>
      <c r="J106" s="27"/>
      <c r="K106" s="29"/>
      <c r="M106" s="25"/>
      <c r="N106" s="25"/>
      <c r="O106" s="25"/>
      <c r="P106" s="25" t="str">
        <f t="shared" si="2"/>
        <v/>
      </c>
    </row>
    <row r="107" spans="1:16" x14ac:dyDescent="0.35">
      <c r="A107" s="28"/>
      <c r="B107" s="28"/>
      <c r="D107" s="27"/>
      <c r="E107" s="27"/>
      <c r="G107" s="27"/>
      <c r="H107" s="29"/>
      <c r="J107" s="27"/>
      <c r="K107" s="29"/>
      <c r="M107" s="25"/>
      <c r="N107" s="25"/>
      <c r="O107" s="25"/>
      <c r="P107" s="25" t="str">
        <f t="shared" si="2"/>
        <v/>
      </c>
    </row>
    <row r="108" spans="1:16" x14ac:dyDescent="0.35">
      <c r="A108" s="28"/>
      <c r="B108" s="28"/>
      <c r="D108" s="27"/>
      <c r="E108" s="27"/>
      <c r="G108" s="27"/>
      <c r="H108" s="29"/>
      <c r="J108" s="27"/>
      <c r="K108" s="29"/>
      <c r="M108" s="25"/>
      <c r="N108" s="25"/>
      <c r="O108" s="25"/>
      <c r="P108" s="25" t="str">
        <f t="shared" si="2"/>
        <v/>
      </c>
    </row>
    <row r="109" spans="1:16" x14ac:dyDescent="0.35">
      <c r="A109" s="28"/>
      <c r="B109" s="28"/>
      <c r="D109" s="27"/>
      <c r="E109" s="27"/>
      <c r="G109" s="27"/>
      <c r="H109" s="29"/>
      <c r="J109" s="27"/>
      <c r="K109" s="29"/>
      <c r="M109" s="25"/>
      <c r="N109" s="25"/>
      <c r="O109" s="25"/>
      <c r="P109" s="25" t="str">
        <f t="shared" si="2"/>
        <v/>
      </c>
    </row>
    <row r="110" spans="1:16" x14ac:dyDescent="0.35">
      <c r="A110" s="28"/>
      <c r="B110" s="28"/>
      <c r="D110" s="27"/>
      <c r="E110" s="27"/>
      <c r="G110" s="27"/>
      <c r="H110" s="29"/>
      <c r="J110" s="27"/>
      <c r="K110" s="29"/>
      <c r="M110" s="25"/>
      <c r="N110" s="25"/>
      <c r="O110" s="25"/>
      <c r="P110" s="25" t="str">
        <f t="shared" si="2"/>
        <v/>
      </c>
    </row>
    <row r="111" spans="1:16" x14ac:dyDescent="0.35">
      <c r="A111" s="28"/>
      <c r="B111" s="28"/>
      <c r="D111" s="27"/>
      <c r="E111" s="27"/>
      <c r="G111" s="27"/>
      <c r="H111" s="29"/>
      <c r="J111" s="27"/>
      <c r="K111" s="29"/>
      <c r="M111" s="25"/>
      <c r="N111" s="25"/>
      <c r="O111" s="25"/>
      <c r="P111" s="25" t="str">
        <f t="shared" si="2"/>
        <v/>
      </c>
    </row>
    <row r="112" spans="1:16" x14ac:dyDescent="0.35">
      <c r="A112" s="28"/>
      <c r="B112" s="28"/>
      <c r="D112" s="27"/>
      <c r="E112" s="27"/>
      <c r="G112" s="27"/>
      <c r="H112" s="29"/>
      <c r="J112" s="27"/>
      <c r="K112" s="29"/>
      <c r="M112" s="25"/>
      <c r="N112" s="25"/>
      <c r="O112" s="25"/>
      <c r="P112" s="25" t="str">
        <f t="shared" ref="P112:P143" si="3">IF(A112="","",IF(D112="x","&lt;VariableColumn&gt;&lt;Name&gt;"&amp;A112&amp;"&lt;/Name&gt;&lt;Description&gt;"&amp;B112&amp;"&lt;/Description&gt;&lt;Numeric&gt;&lt;Accuracy&gt;"&amp;E112&amp;"&lt;/Accuracy&gt;&lt;/Numeric&gt;&lt;/VariableColumn&gt;",IF(G112="x","&lt;VariableColumn&gt;&lt;Name&gt;"&amp;A112&amp;"&lt;/Name&gt;&lt;Description&gt;"&amp;B112&amp;"&lt;/Description&gt;&lt;AlphaNumeric/&gt;"&amp;IF(H112&gt;0,"&lt;MaxLength&gt;"&amp;H112&amp;"&lt;/MaxLength&gt;","")&amp;"&lt;/VariableColumn&gt;",IF(J112="x","&lt;VariableColumn&gt;&lt;Name&gt;"&amp;A112&amp;"&lt;/Name&gt;&lt;Description&gt;"&amp;B112&amp;"&lt;/Description&gt;&lt;Date&gt;&lt;Format&gt;"&amp;K112&amp;"&lt;/Format&gt;&lt;/Date&gt;&lt;/VariableColumn&gt;",""))))</f>
        <v/>
      </c>
    </row>
    <row r="113" spans="1:16" x14ac:dyDescent="0.35">
      <c r="A113" s="28"/>
      <c r="B113" s="28"/>
      <c r="D113" s="27"/>
      <c r="E113" s="27"/>
      <c r="G113" s="27"/>
      <c r="H113" s="29"/>
      <c r="J113" s="27"/>
      <c r="K113" s="29"/>
      <c r="M113" s="25"/>
      <c r="N113" s="25"/>
      <c r="O113" s="25"/>
      <c r="P113" s="25" t="str">
        <f t="shared" si="3"/>
        <v/>
      </c>
    </row>
    <row r="114" spans="1:16" x14ac:dyDescent="0.35">
      <c r="A114" s="28"/>
      <c r="B114" s="28"/>
      <c r="D114" s="27"/>
      <c r="E114" s="27"/>
      <c r="G114" s="27"/>
      <c r="H114" s="29"/>
      <c r="J114" s="27"/>
      <c r="K114" s="29"/>
      <c r="M114" s="25"/>
      <c r="N114" s="25"/>
      <c r="O114" s="25"/>
      <c r="P114" s="25" t="str">
        <f t="shared" si="3"/>
        <v/>
      </c>
    </row>
    <row r="115" spans="1:16" x14ac:dyDescent="0.35">
      <c r="A115" s="28"/>
      <c r="B115" s="28"/>
      <c r="D115" s="27"/>
      <c r="E115" s="27"/>
      <c r="G115" s="27"/>
      <c r="H115" s="29"/>
      <c r="J115" s="27"/>
      <c r="K115" s="29"/>
      <c r="M115" s="25"/>
      <c r="N115" s="25"/>
      <c r="O115" s="25"/>
      <c r="P115" s="25" t="str">
        <f t="shared" si="3"/>
        <v/>
      </c>
    </row>
    <row r="116" spans="1:16" x14ac:dyDescent="0.35">
      <c r="A116" s="28"/>
      <c r="B116" s="28"/>
      <c r="D116" s="27"/>
      <c r="E116" s="27"/>
      <c r="G116" s="27"/>
      <c r="H116" s="29"/>
      <c r="J116" s="27"/>
      <c r="K116" s="29"/>
      <c r="M116" s="25"/>
      <c r="N116" s="25"/>
      <c r="O116" s="25"/>
      <c r="P116" s="25" t="str">
        <f t="shared" si="3"/>
        <v/>
      </c>
    </row>
    <row r="117" spans="1:16" x14ac:dyDescent="0.35">
      <c r="A117" s="28"/>
      <c r="B117" s="28"/>
      <c r="D117" s="27"/>
      <c r="E117" s="27"/>
      <c r="G117" s="27"/>
      <c r="H117" s="29"/>
      <c r="J117" s="27"/>
      <c r="K117" s="29"/>
      <c r="M117" s="25"/>
      <c r="N117" s="25"/>
      <c r="O117" s="25"/>
      <c r="P117" s="25" t="str">
        <f t="shared" si="3"/>
        <v/>
      </c>
    </row>
    <row r="118" spans="1:16" x14ac:dyDescent="0.35">
      <c r="A118" s="28"/>
      <c r="B118" s="28"/>
      <c r="D118" s="27"/>
      <c r="E118" s="27"/>
      <c r="G118" s="27"/>
      <c r="H118" s="29"/>
      <c r="J118" s="27"/>
      <c r="K118" s="29"/>
      <c r="M118" s="25"/>
      <c r="N118" s="25"/>
      <c r="O118" s="25"/>
      <c r="P118" s="25" t="str">
        <f t="shared" si="3"/>
        <v/>
      </c>
    </row>
    <row r="119" spans="1:16" x14ac:dyDescent="0.35">
      <c r="A119" s="28"/>
      <c r="B119" s="28"/>
      <c r="D119" s="27"/>
      <c r="E119" s="27"/>
      <c r="G119" s="27"/>
      <c r="H119" s="29"/>
      <c r="J119" s="27"/>
      <c r="K119" s="29"/>
      <c r="M119" s="25"/>
      <c r="N119" s="25"/>
      <c r="O119" s="25"/>
      <c r="P119" s="25" t="str">
        <f t="shared" si="3"/>
        <v/>
      </c>
    </row>
    <row r="120" spans="1:16" x14ac:dyDescent="0.35">
      <c r="A120" s="28"/>
      <c r="B120" s="28"/>
      <c r="D120" s="27"/>
      <c r="E120" s="27"/>
      <c r="G120" s="27"/>
      <c r="H120" s="29"/>
      <c r="J120" s="27"/>
      <c r="K120" s="29"/>
      <c r="M120" s="25"/>
      <c r="N120" s="25"/>
      <c r="O120" s="25"/>
      <c r="P120" s="25" t="str">
        <f t="shared" si="3"/>
        <v/>
      </c>
    </row>
    <row r="121" spans="1:16" x14ac:dyDescent="0.35">
      <c r="A121" s="28"/>
      <c r="B121" s="28"/>
      <c r="D121" s="27"/>
      <c r="E121" s="27"/>
      <c r="G121" s="27"/>
      <c r="H121" s="29"/>
      <c r="J121" s="27"/>
      <c r="K121" s="29"/>
      <c r="M121" s="25"/>
      <c r="N121" s="25"/>
      <c r="O121" s="25"/>
      <c r="P121" s="25" t="str">
        <f t="shared" si="3"/>
        <v/>
      </c>
    </row>
    <row r="122" spans="1:16" x14ac:dyDescent="0.35">
      <c r="A122" s="28"/>
      <c r="B122" s="28"/>
      <c r="D122" s="27"/>
      <c r="E122" s="27"/>
      <c r="G122" s="27"/>
      <c r="H122" s="29"/>
      <c r="J122" s="27"/>
      <c r="K122" s="29"/>
      <c r="M122" s="25"/>
      <c r="N122" s="25"/>
      <c r="O122" s="25"/>
      <c r="P122" s="25" t="str">
        <f t="shared" si="3"/>
        <v/>
      </c>
    </row>
    <row r="123" spans="1:16" x14ac:dyDescent="0.35">
      <c r="A123" s="28"/>
      <c r="B123" s="28"/>
      <c r="D123" s="27"/>
      <c r="E123" s="27"/>
      <c r="G123" s="27"/>
      <c r="H123" s="29"/>
      <c r="J123" s="27"/>
      <c r="K123" s="29"/>
      <c r="M123" s="25"/>
      <c r="N123" s="25"/>
      <c r="O123" s="25"/>
      <c r="P123" s="25" t="str">
        <f t="shared" si="3"/>
        <v/>
      </c>
    </row>
    <row r="124" spans="1:16" x14ac:dyDescent="0.35">
      <c r="A124" s="28"/>
      <c r="B124" s="28"/>
      <c r="D124" s="27"/>
      <c r="E124" s="27"/>
      <c r="G124" s="27"/>
      <c r="H124" s="29"/>
      <c r="J124" s="27"/>
      <c r="K124" s="29"/>
      <c r="M124" s="25"/>
      <c r="N124" s="25"/>
      <c r="O124" s="25"/>
      <c r="P124" s="25" t="str">
        <f t="shared" si="3"/>
        <v/>
      </c>
    </row>
    <row r="125" spans="1:16" x14ac:dyDescent="0.35">
      <c r="A125" s="28"/>
      <c r="B125" s="28"/>
      <c r="D125" s="27"/>
      <c r="E125" s="27"/>
      <c r="G125" s="27"/>
      <c r="H125" s="29"/>
      <c r="J125" s="27"/>
      <c r="K125" s="29"/>
      <c r="M125" s="25"/>
      <c r="N125" s="25"/>
      <c r="O125" s="25"/>
      <c r="P125" s="25" t="str">
        <f t="shared" si="3"/>
        <v/>
      </c>
    </row>
    <row r="126" spans="1:16" x14ac:dyDescent="0.35">
      <c r="A126" s="28"/>
      <c r="B126" s="28"/>
      <c r="D126" s="27"/>
      <c r="E126" s="27"/>
      <c r="G126" s="27"/>
      <c r="H126" s="29"/>
      <c r="J126" s="27"/>
      <c r="K126" s="29"/>
      <c r="M126" s="25"/>
      <c r="N126" s="25"/>
      <c r="O126" s="25"/>
      <c r="P126" s="25" t="str">
        <f t="shared" si="3"/>
        <v/>
      </c>
    </row>
    <row r="127" spans="1:16" x14ac:dyDescent="0.35">
      <c r="A127" s="28"/>
      <c r="B127" s="28"/>
      <c r="D127" s="27"/>
      <c r="E127" s="27"/>
      <c r="G127" s="27"/>
      <c r="H127" s="29"/>
      <c r="J127" s="27"/>
      <c r="K127" s="29"/>
      <c r="M127" s="25"/>
      <c r="N127" s="25"/>
      <c r="O127" s="25"/>
      <c r="P127" s="25" t="str">
        <f t="shared" si="3"/>
        <v/>
      </c>
    </row>
    <row r="128" spans="1:16" x14ac:dyDescent="0.35">
      <c r="A128" s="28"/>
      <c r="B128" s="28"/>
      <c r="D128" s="27"/>
      <c r="E128" s="27"/>
      <c r="G128" s="27"/>
      <c r="H128" s="29"/>
      <c r="J128" s="27"/>
      <c r="K128" s="29"/>
      <c r="M128" s="25"/>
      <c r="N128" s="25"/>
      <c r="O128" s="25"/>
      <c r="P128" s="25" t="str">
        <f t="shared" si="3"/>
        <v/>
      </c>
    </row>
    <row r="129" spans="1:16" x14ac:dyDescent="0.35">
      <c r="A129" s="28"/>
      <c r="B129" s="28"/>
      <c r="D129" s="27"/>
      <c r="E129" s="27"/>
      <c r="G129" s="27"/>
      <c r="H129" s="29"/>
      <c r="J129" s="27"/>
      <c r="K129" s="29"/>
      <c r="M129" s="25"/>
      <c r="N129" s="25"/>
      <c r="O129" s="25"/>
      <c r="P129" s="25" t="str">
        <f t="shared" si="3"/>
        <v/>
      </c>
    </row>
    <row r="130" spans="1:16" x14ac:dyDescent="0.35">
      <c r="A130" s="28"/>
      <c r="B130" s="28"/>
      <c r="D130" s="27"/>
      <c r="E130" s="27"/>
      <c r="G130" s="27"/>
      <c r="H130" s="29"/>
      <c r="J130" s="27"/>
      <c r="K130" s="29"/>
      <c r="M130" s="25"/>
      <c r="N130" s="25"/>
      <c r="O130" s="25"/>
      <c r="P130" s="25" t="str">
        <f t="shared" si="3"/>
        <v/>
      </c>
    </row>
    <row r="131" spans="1:16" x14ac:dyDescent="0.35">
      <c r="A131" s="28"/>
      <c r="B131" s="28"/>
      <c r="D131" s="27"/>
      <c r="E131" s="27"/>
      <c r="G131" s="27"/>
      <c r="H131" s="29"/>
      <c r="J131" s="27"/>
      <c r="K131" s="29"/>
      <c r="M131" s="25"/>
      <c r="N131" s="25"/>
      <c r="O131" s="25"/>
      <c r="P131" s="25" t="str">
        <f t="shared" si="3"/>
        <v/>
      </c>
    </row>
    <row r="132" spans="1:16" x14ac:dyDescent="0.35">
      <c r="A132" s="28"/>
      <c r="B132" s="28"/>
      <c r="D132" s="27"/>
      <c r="E132" s="27"/>
      <c r="G132" s="27"/>
      <c r="H132" s="29"/>
      <c r="J132" s="27"/>
      <c r="K132" s="29"/>
      <c r="M132" s="25"/>
      <c r="N132" s="25"/>
      <c r="O132" s="25"/>
      <c r="P132" s="25" t="str">
        <f t="shared" si="3"/>
        <v/>
      </c>
    </row>
    <row r="133" spans="1:16" x14ac:dyDescent="0.35">
      <c r="A133" s="28"/>
      <c r="B133" s="28"/>
      <c r="D133" s="27"/>
      <c r="E133" s="27"/>
      <c r="G133" s="27"/>
      <c r="H133" s="29"/>
      <c r="J133" s="27"/>
      <c r="K133" s="29"/>
      <c r="M133" s="25"/>
      <c r="N133" s="25"/>
      <c r="O133" s="25"/>
      <c r="P133" s="25" t="str">
        <f t="shared" si="3"/>
        <v/>
      </c>
    </row>
    <row r="134" spans="1:16" x14ac:dyDescent="0.35">
      <c r="A134" s="28"/>
      <c r="B134" s="28"/>
      <c r="D134" s="27"/>
      <c r="E134" s="27"/>
      <c r="G134" s="27"/>
      <c r="H134" s="29"/>
      <c r="J134" s="27"/>
      <c r="K134" s="29"/>
      <c r="M134" s="25"/>
      <c r="N134" s="25"/>
      <c r="O134" s="25"/>
      <c r="P134" s="25" t="str">
        <f t="shared" si="3"/>
        <v/>
      </c>
    </row>
    <row r="135" spans="1:16" x14ac:dyDescent="0.35">
      <c r="A135" s="28"/>
      <c r="B135" s="28"/>
      <c r="D135" s="27"/>
      <c r="E135" s="27"/>
      <c r="G135" s="27"/>
      <c r="H135" s="29"/>
      <c r="J135" s="27"/>
      <c r="K135" s="29"/>
      <c r="M135" s="25"/>
      <c r="N135" s="25"/>
      <c r="O135" s="25"/>
      <c r="P135" s="25" t="str">
        <f t="shared" si="3"/>
        <v/>
      </c>
    </row>
    <row r="136" spans="1:16" x14ac:dyDescent="0.35">
      <c r="A136" s="28"/>
      <c r="B136" s="28"/>
      <c r="D136" s="27"/>
      <c r="E136" s="27"/>
      <c r="G136" s="27"/>
      <c r="H136" s="29"/>
      <c r="J136" s="27"/>
      <c r="K136" s="29"/>
      <c r="M136" s="25"/>
      <c r="N136" s="25"/>
      <c r="O136" s="25"/>
      <c r="P136" s="25" t="str">
        <f t="shared" si="3"/>
        <v/>
      </c>
    </row>
    <row r="137" spans="1:16" x14ac:dyDescent="0.35">
      <c r="A137" s="28"/>
      <c r="B137" s="28"/>
      <c r="D137" s="27"/>
      <c r="E137" s="27"/>
      <c r="G137" s="27"/>
      <c r="H137" s="29"/>
      <c r="J137" s="27"/>
      <c r="K137" s="29"/>
      <c r="M137" s="25"/>
      <c r="N137" s="25"/>
      <c r="O137" s="25"/>
      <c r="P137" s="25" t="str">
        <f t="shared" si="3"/>
        <v/>
      </c>
    </row>
    <row r="138" spans="1:16" x14ac:dyDescent="0.35">
      <c r="A138" s="28"/>
      <c r="B138" s="28"/>
      <c r="D138" s="27"/>
      <c r="E138" s="27"/>
      <c r="G138" s="27"/>
      <c r="H138" s="29"/>
      <c r="J138" s="27"/>
      <c r="K138" s="29"/>
      <c r="M138" s="25"/>
      <c r="N138" s="25"/>
      <c r="O138" s="25"/>
      <c r="P138" s="25" t="str">
        <f t="shared" si="3"/>
        <v/>
      </c>
    </row>
    <row r="139" spans="1:16" x14ac:dyDescent="0.35">
      <c r="A139" s="28"/>
      <c r="B139" s="28"/>
      <c r="D139" s="27"/>
      <c r="E139" s="27"/>
      <c r="G139" s="27"/>
      <c r="H139" s="29"/>
      <c r="J139" s="27"/>
      <c r="K139" s="29"/>
      <c r="M139" s="25"/>
      <c r="N139" s="25"/>
      <c r="O139" s="25"/>
      <c r="P139" s="25" t="str">
        <f t="shared" si="3"/>
        <v/>
      </c>
    </row>
    <row r="140" spans="1:16" x14ac:dyDescent="0.35">
      <c r="A140" s="28"/>
      <c r="B140" s="28"/>
      <c r="D140" s="27"/>
      <c r="E140" s="27"/>
      <c r="G140" s="27"/>
      <c r="H140" s="29"/>
      <c r="J140" s="27"/>
      <c r="K140" s="29"/>
      <c r="M140" s="25"/>
      <c r="N140" s="25"/>
      <c r="O140" s="25"/>
      <c r="P140" s="25" t="str">
        <f t="shared" si="3"/>
        <v/>
      </c>
    </row>
    <row r="141" spans="1:16" x14ac:dyDescent="0.35">
      <c r="A141" s="28"/>
      <c r="B141" s="28"/>
      <c r="D141" s="27"/>
      <c r="E141" s="27"/>
      <c r="G141" s="27"/>
      <c r="H141" s="29"/>
      <c r="J141" s="27"/>
      <c r="K141" s="29"/>
      <c r="M141" s="25"/>
      <c r="N141" s="25"/>
      <c r="O141" s="25"/>
      <c r="P141" s="25" t="str">
        <f t="shared" si="3"/>
        <v/>
      </c>
    </row>
    <row r="142" spans="1:16" x14ac:dyDescent="0.35">
      <c r="A142" s="28"/>
      <c r="B142" s="28"/>
      <c r="D142" s="27"/>
      <c r="E142" s="27"/>
      <c r="G142" s="27"/>
      <c r="H142" s="29"/>
      <c r="J142" s="27"/>
      <c r="K142" s="29"/>
      <c r="M142" s="25"/>
      <c r="N142" s="25"/>
      <c r="O142" s="25"/>
      <c r="P142" s="25" t="str">
        <f t="shared" si="3"/>
        <v/>
      </c>
    </row>
    <row r="143" spans="1:16" x14ac:dyDescent="0.35">
      <c r="A143" s="28"/>
      <c r="B143" s="28"/>
      <c r="D143" s="27"/>
      <c r="E143" s="27"/>
      <c r="G143" s="27"/>
      <c r="H143" s="29"/>
      <c r="J143" s="27"/>
      <c r="K143" s="29"/>
      <c r="M143" s="25"/>
      <c r="N143" s="25"/>
      <c r="O143" s="25"/>
      <c r="P143" s="25" t="str">
        <f t="shared" si="3"/>
        <v/>
      </c>
    </row>
    <row r="144" spans="1:16" x14ac:dyDescent="0.35">
      <c r="A144" s="28"/>
      <c r="B144" s="28"/>
      <c r="D144" s="27"/>
      <c r="E144" s="27"/>
      <c r="G144" s="27"/>
      <c r="H144" s="29"/>
      <c r="J144" s="27"/>
      <c r="K144" s="29"/>
      <c r="M144" s="25"/>
      <c r="N144" s="25"/>
      <c r="O144" s="25"/>
      <c r="P144" s="25" t="str">
        <f t="shared" ref="P144:P150" si="4">IF(A144="","",IF(D144="x","&lt;VariableColumn&gt;&lt;Name&gt;"&amp;A144&amp;"&lt;/Name&gt;&lt;Description&gt;"&amp;B144&amp;"&lt;/Description&gt;&lt;Numeric&gt;&lt;Accuracy&gt;"&amp;E144&amp;"&lt;/Accuracy&gt;&lt;/Numeric&gt;&lt;/VariableColumn&gt;",IF(G144="x","&lt;VariableColumn&gt;&lt;Name&gt;"&amp;A144&amp;"&lt;/Name&gt;&lt;Description&gt;"&amp;B144&amp;"&lt;/Description&gt;&lt;AlphaNumeric/&gt;"&amp;IF(H144&gt;0,"&lt;MaxLength&gt;"&amp;H144&amp;"&lt;/MaxLength&gt;","")&amp;"&lt;/VariableColumn&gt;",IF(J144="x","&lt;VariableColumn&gt;&lt;Name&gt;"&amp;A144&amp;"&lt;/Name&gt;&lt;Description&gt;"&amp;B144&amp;"&lt;/Description&gt;&lt;Date&gt;&lt;Format&gt;"&amp;K144&amp;"&lt;/Format&gt;&lt;/Date&gt;&lt;/VariableColumn&gt;",""))))</f>
        <v/>
      </c>
    </row>
    <row r="145" spans="1:16" x14ac:dyDescent="0.35">
      <c r="A145" s="28"/>
      <c r="B145" s="28"/>
      <c r="D145" s="27"/>
      <c r="E145" s="27"/>
      <c r="G145" s="27"/>
      <c r="H145" s="29"/>
      <c r="J145" s="27"/>
      <c r="K145" s="29"/>
      <c r="M145" s="25"/>
      <c r="N145" s="25"/>
      <c r="O145" s="25"/>
      <c r="P145" s="25" t="str">
        <f t="shared" si="4"/>
        <v/>
      </c>
    </row>
    <row r="146" spans="1:16" x14ac:dyDescent="0.35">
      <c r="A146" s="28"/>
      <c r="B146" s="28"/>
      <c r="D146" s="27"/>
      <c r="E146" s="27"/>
      <c r="G146" s="27"/>
      <c r="H146" s="29"/>
      <c r="J146" s="27"/>
      <c r="K146" s="29"/>
      <c r="M146" s="25"/>
      <c r="N146" s="25"/>
      <c r="O146" s="25"/>
      <c r="P146" s="25" t="str">
        <f t="shared" si="4"/>
        <v/>
      </c>
    </row>
    <row r="147" spans="1:16" x14ac:dyDescent="0.35">
      <c r="A147" s="28"/>
      <c r="B147" s="28"/>
      <c r="D147" s="27"/>
      <c r="E147" s="27"/>
      <c r="G147" s="27"/>
      <c r="H147" s="29"/>
      <c r="J147" s="27"/>
      <c r="K147" s="29"/>
      <c r="M147" s="25"/>
      <c r="N147" s="25"/>
      <c r="O147" s="25"/>
      <c r="P147" s="25" t="str">
        <f t="shared" si="4"/>
        <v/>
      </c>
    </row>
    <row r="148" spans="1:16" x14ac:dyDescent="0.35">
      <c r="A148" s="28"/>
      <c r="B148" s="28"/>
      <c r="D148" s="27"/>
      <c r="E148" s="27"/>
      <c r="G148" s="27"/>
      <c r="H148" s="29"/>
      <c r="J148" s="27"/>
      <c r="K148" s="29"/>
      <c r="M148" s="25"/>
      <c r="N148" s="25"/>
      <c r="O148" s="25"/>
      <c r="P148" s="25" t="str">
        <f t="shared" si="4"/>
        <v/>
      </c>
    </row>
    <row r="149" spans="1:16" x14ac:dyDescent="0.35">
      <c r="A149" s="28"/>
      <c r="B149" s="28"/>
      <c r="D149" s="27"/>
      <c r="E149" s="27"/>
      <c r="G149" s="27"/>
      <c r="H149" s="29"/>
      <c r="J149" s="27"/>
      <c r="K149" s="29"/>
      <c r="M149" s="25"/>
      <c r="N149" s="25"/>
      <c r="O149" s="25"/>
      <c r="P149" s="25" t="str">
        <f t="shared" si="4"/>
        <v/>
      </c>
    </row>
    <row r="150" spans="1:16" x14ac:dyDescent="0.35">
      <c r="A150" s="28"/>
      <c r="B150" s="28"/>
      <c r="D150" s="27"/>
      <c r="E150" s="27"/>
      <c r="G150" s="27"/>
      <c r="H150" s="29"/>
      <c r="J150" s="27"/>
      <c r="K150" s="29"/>
      <c r="M150" s="25"/>
      <c r="N150" s="25"/>
      <c r="O150" s="25"/>
      <c r="P150" s="25" t="str">
        <f t="shared" si="4"/>
        <v/>
      </c>
    </row>
    <row r="151" spans="1:16" x14ac:dyDescent="0.35">
      <c r="M151" s="25" t="s">
        <v>288</v>
      </c>
      <c r="N151" s="25"/>
      <c r="O151" s="25"/>
      <c r="P151" s="25"/>
    </row>
    <row r="152" spans="1:16" x14ac:dyDescent="0.35">
      <c r="M152" s="25" t="s">
        <v>289</v>
      </c>
      <c r="N152" s="25"/>
      <c r="O152" s="25"/>
      <c r="P152" s="25"/>
    </row>
    <row r="153" spans="1:16" x14ac:dyDescent="0.35">
      <c r="M153" s="25" t="s">
        <v>290</v>
      </c>
      <c r="N153" s="25"/>
      <c r="O153" s="25"/>
      <c r="P153" s="25"/>
    </row>
    <row r="154" spans="1:16" x14ac:dyDescent="0.35">
      <c r="M154" s="25" t="s">
        <v>291</v>
      </c>
      <c r="N154" s="25"/>
      <c r="O154" s="25"/>
      <c r="P154" s="25"/>
    </row>
  </sheetData>
  <mergeCells count="3">
    <mergeCell ref="D13:E13"/>
    <mergeCell ref="G13:H13"/>
    <mergeCell ref="J13:K1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Roman,Standard"&amp;12&amp;A</oddHeader>
    <oddFooter>&amp;C&amp;"Times New Roman,Standard"&amp;12Seite 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6</vt:i4>
      </vt:variant>
    </vt:vector>
  </HeadingPairs>
  <TitlesOfParts>
    <vt:vector size="8" baseType="lpstr">
      <vt:lpstr>Uebersicht</vt:lpstr>
      <vt:lpstr>Tabelle</vt:lpstr>
      <vt:lpstr>Uebersicht!Druckbereich</vt:lpstr>
      <vt:lpstr>Uebersicht!Drucktitel</vt:lpstr>
      <vt:lpstr>Uebersicht!Print_Area_0</vt:lpstr>
      <vt:lpstr>Uebersicht!Print_Area_0_0</vt:lpstr>
      <vt:lpstr>Uebersicht!Print_Titles_0</vt:lpstr>
      <vt:lpstr>Uebersicht!Print_Titles_0_0</vt:lpstr>
    </vt:vector>
  </TitlesOfParts>
  <Company>Landesamt für Steuern Niedersachsen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Gerold Mammen - LSt Niedersachsen</dc:creator>
  <cp:lastModifiedBy>Mammen, Gerold</cp:lastModifiedBy>
  <cp:revision>3</cp:revision>
  <cp:lastPrinted>2020-02-26T07:43:40Z</cp:lastPrinted>
  <dcterms:created xsi:type="dcterms:W3CDTF">2017-06-12T10:38:39Z</dcterms:created>
  <dcterms:modified xsi:type="dcterms:W3CDTF">2022-01-12T12:39:45Z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Oberfinanzdirektion Niedersachsen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